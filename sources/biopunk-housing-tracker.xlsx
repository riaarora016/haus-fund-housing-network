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Weights" sheetId="2" state="visible" r:id="rId4"/>
    <sheet name="Pipeline" sheetId="3" state="visible" r:id="rId5"/>
    <sheet name="Inventory" sheetId="4" state="visible" r:id="rId6"/>
    <sheet name="Contacts" sheetId="5" state="visible" r:id="rId7"/>
    <sheet name="Outreach log" sheetId="6" state="visible" r:id="rId8"/>
    <sheet name="Templates" sheetId="7" state="visible" r:id="rId9"/>
  </sheets>
  <definedNames>
    <definedName function="false" hidden="true" localSheetId="4" name="_xlnm._FilterDatabase" vbProcedure="false">Contacts!$A$1:$F$58</definedName>
    <definedName function="false" hidden="true" localSheetId="3" name="_xlnm._FilterDatabase" vbProcedure="false">Inventory!$A$1:$AA$78</definedName>
    <definedName function="false" hidden="true" localSheetId="2" name="_xlnm._FilterDatabase" vbProcedure="false">Pipeline!$A$1:$AK$70</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Estimated walking/transit minutes from 995 Market St by neighborhood. Replace with geocoded values in the portal.</t>
        </r>
      </text>
    </comment>
    <comment ref="L1" authorId="0">
      <text>
        <r>
          <rPr>
            <sz val="10"/>
            <rFont val="Arial"/>
            <family val="2"/>
          </rPr>
          <t xml:space="preserve">Per room per month at current market, from the Jul 2026 report (§2, §4, §6b–6e). A 40–50 bed block with a multi-year term should negotiate 10–25% below these.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1" authorId="0">
      <text>
        <r>
          <rPr>
            <sz val="10"/>
            <rFont val="Arial"/>
            <family val="2"/>
          </rPr>
          <t xml:space="preserve">Parsed from the tracker's Capacity text where it gives a number; blank = verify. Bed-fit points default to 4 when blank.</t>
        </r>
      </text>
    </comment>
    <comment ref="R1" authorId="0">
      <text>
        <r>
          <rPr>
            <sz val="10"/>
            <rFont val="Arial"/>
            <family val="2"/>
          </rPr>
          <t xml:space="preserve">Hostels/hotels assumed bookable for Sept 15; everything else 'unknown' until the weekly email check confirms it.</t>
        </r>
      </text>
    </comment>
  </commentList>
</comments>
</file>

<file path=xl/sharedStrings.xml><?xml version="1.0" encoding="utf-8"?>
<sst xmlns="http://schemas.openxmlformats.org/spreadsheetml/2006/main" count="3017" uniqueCount="1141">
  <si>
    <t xml:space="preserve">Biopunk Housing — composite ranked tracker</t>
  </si>
  <si>
    <t xml:space="preserve">Built Aug 22, 2026 from: Incubator Housing Report (Jul 16, 5 research rounds), cost dashboard, master contact sheet, Giulia/Alex Notion tracker, and the May 2026 house-hunt sheet.</t>
  </si>
  <si>
    <t xml:space="preserve">TABS</t>
  </si>
  <si>
    <t xml:space="preserve">Weights — the scoring inputs (yellow cells). Change a weight and every score on Pipeline and Inventory recalculates.</t>
  </si>
  <si>
    <t xml:space="preserve">Pipeline — whole buildings / master-lease targets for the 40–50 person program (Elliot + Ria work this tab). Ranked by Score.</t>
  </si>
  <si>
    <t xml:space="preserve">Inventory — bookable beds already operating in SF (from the Notion tracker). This is what incoming founders can use today and the seed for the live portal.</t>
  </si>
  <si>
    <t xml:space="preserve">Contacts — every phone/email from the contact sheet, with section. ⚠ = verify by phone before relying on it.</t>
  </si>
  <si>
    <t xml:space="preserve">Outreach log — one row per touch. Fill it in; the portal will read outreach status from here.</t>
  </si>
  <si>
    <t xml:space="preserve">Templates — email + call scripts, scaled up from the team's existing Gener/Sironi template.</t>
  </si>
  <si>
    <t xml:space="preserve">SCORING (0–100, criteria in the order the team stated them)</t>
  </si>
  <si>
    <t xml:space="preserve">Transit to Frontier (995 Market): full points ≤10 min walk, 0 at ≥45 min; East Bay / Peninsula / North Bay / Remote = 0.</t>
  </si>
  <si>
    <t xml:space="preserve">Price per bed: full points ≤ target ($1,000), linear to 0 at $2,200. Blank price = 5 pts (unknown).</t>
  </si>
  <si>
    <t xml:space="preserve">Kitchen: communal or private = full; unknown = 5; none = 0.</t>
  </si>
  <si>
    <t xml:space="preserve">Bed fit: 40–60 beds in one building = full; 20–39 = pair candidate (12); &gt;100 = 15; &lt;20 = 4.</t>
  </si>
  <si>
    <t xml:space="preserve">Caps: status taken/sold/ruled-out → 0. Tourist hotel with no kitchen → max 40. Sept-15-ready → +5.</t>
  </si>
  <si>
    <t xml:space="preserve">HONESTY RULES</t>
  </si>
  <si>
    <t xml:space="preserve">Walk minutes on Pipeline are neighborhood ESTIMATES (column 'Walk source'); on Inventory they come from the Notion tracker. Prices are per room/bed at current market, rounded from the report; every row keeps its source link.</t>
  </si>
  <si>
    <t xml:space="preserve">Nothing here has been re-verified since the source dates. Before outreach: check Last checked, call the ⚠ contacts, and confirm availability for Sept 15.</t>
  </si>
  <si>
    <t xml:space="preserve">Key dates: arrival Sept 15 (ideal move-in) · Fitzgerald starts Sept 27 → 12-night bridge gap · Alum house live Sept 1 · Real target: something better than Fitzgerald for Q1 2027.</t>
  </si>
  <si>
    <t xml:space="preserve">Priority neighborhoods: SoMa, Nob Hill, Civic Center, FiDi, Union Square, NoPa/Panhandle. East Bay ruled out (too far from Frontier) — rows kept, scored 0 on transit.</t>
  </si>
  <si>
    <t xml:space="preserve">Input</t>
  </si>
  <si>
    <t xml:space="preserve">Value</t>
  </si>
  <si>
    <t xml:space="preserve">Transit weight (pts)</t>
  </si>
  <si>
    <t xml:space="preserve">Price weight (pts)</t>
  </si>
  <si>
    <t xml:space="preserve">Kitchen weight (pts)</t>
  </si>
  <si>
    <t xml:space="preserve">Bed-fit weight (pts)</t>
  </si>
  <si>
    <t xml:space="preserve">Target $/bed (full price points at or below)</t>
  </si>
  <si>
    <t xml:space="preserve">Max $/bed (0 price points at or above)</t>
  </si>
  <si>
    <t xml:space="preserve">Walk min for full transit points</t>
  </si>
  <si>
    <t xml:space="preserve">Walk min for 0 transit points</t>
  </si>
  <si>
    <t xml:space="preserve">Sept-15-ready bonus (pts)</t>
  </si>
  <si>
    <t xml:space="preserve">Tourist-hotel no-kitchen cap</t>
  </si>
  <si>
    <t xml:space="preserve">Cohort size for monthly estimate</t>
  </si>
  <si>
    <t xml:space="preserve">Ideal beds low</t>
  </si>
  <si>
    <t xml:space="preserve">Ideal beds high</t>
  </si>
  <si>
    <t xml:space="preserve">Yellow cells are the only inputs. Weights should sum to 100. Source: team criteria from the Aug 2026 planning call (transit, price, kitchen, bed count) and the Jul 2026 report's budget math.</t>
  </si>
  <si>
    <t xml:space="preserve">Rank</t>
  </si>
  <si>
    <t xml:space="preserve">Name</t>
  </si>
  <si>
    <t xml:space="preserve">Address</t>
  </si>
  <si>
    <t xml:space="preserve">Neighborhood</t>
  </si>
  <si>
    <t xml:space="preserve">Region</t>
  </si>
  <si>
    <t xml:space="preserve">Walk min to Frontier (est)</t>
  </si>
  <si>
    <t xml:space="preserve">Walk source</t>
  </si>
  <si>
    <t xml:space="preserve">Type</t>
  </si>
  <si>
    <t xml:space="preserve">Rooms / units</t>
  </si>
  <si>
    <t xml:space="preserve">Occ. per room</t>
  </si>
  <si>
    <t xml:space="preserve">Beds est</t>
  </si>
  <si>
    <t xml:space="preserve">$/room low</t>
  </si>
  <si>
    <t xml:space="preserve">$/room high</t>
  </si>
  <si>
    <t xml:space="preserve">$/bed est</t>
  </si>
  <si>
    <t xml:space="preserve">Monthly for cohort ($)</t>
  </si>
  <si>
    <t xml:space="preserve">Kitchen</t>
  </si>
  <si>
    <t xml:space="preserve">Status</t>
  </si>
  <si>
    <t xml:space="preserve">Source tier</t>
  </si>
  <si>
    <t xml:space="preserve">Timeline tags</t>
  </si>
  <si>
    <t xml:space="preserve">Sept-15 ready?</t>
  </si>
  <si>
    <t xml:space="preserve">AAU?</t>
  </si>
  <si>
    <t xml:space="preserve">Baseline?</t>
  </si>
  <si>
    <t xml:space="preserve">Price / ask (as sourced)</t>
  </si>
  <si>
    <t xml:space="preserve">The play</t>
  </si>
  <si>
    <t xml:space="preserve">Contact</t>
  </si>
  <si>
    <t xml:space="preserve">Phone</t>
  </si>
  <si>
    <t xml:space="preserve">Email / path</t>
  </si>
  <si>
    <t xml:space="preserve">Contact section</t>
  </si>
  <si>
    <t xml:space="preserve">Source links</t>
  </si>
  <si>
    <t xml:space="preserve">Notes</t>
  </si>
  <si>
    <t xml:space="preserve">Transit pts</t>
  </si>
  <si>
    <t xml:space="preserve">Price pts</t>
  </si>
  <si>
    <t xml:space="preserve">Kitchen pts</t>
  </si>
  <si>
    <t xml:space="preserve">Beds pts</t>
  </si>
  <si>
    <t xml:space="preserve">SCORE</t>
  </si>
  <si>
    <t xml:space="preserve">Outreach status</t>
  </si>
  <si>
    <t xml:space="preserve">Last checked</t>
  </si>
  <si>
    <t xml:space="preserve">Moxy Oakland — receiver-held, built 2021</t>
  </si>
  <si>
    <t xml:space="preserve">2225 Telegraph Ave, Uptown Oakland</t>
  </si>
  <si>
    <t xml:space="preserve">Uptown Oakland</t>
  </si>
  <si>
    <t xml:space="preserve">East Bay</t>
  </si>
  <si>
    <t xml:space="preserve">est. by neighborhood (geocode in portal)</t>
  </si>
  <si>
    <t xml:space="preserve">tourist-hotel</t>
  </si>
  <si>
    <t xml:space="preserve">none</t>
  </si>
  <si>
    <t xml:space="preserve">receivership</t>
  </si>
  <si>
    <t xml:space="preserve">Jewel</t>
  </si>
  <si>
    <t xml:space="preserve">expansion</t>
  </si>
  <si>
    <t xml:space="preserve">no</t>
  </si>
  <si>
    <t xml:space="preserve">Receiver collecting $0 — pitch $1,000–1,400/room</t>
  </si>
  <si>
    <t xml:space="preserve">Approach receiver Michelle Russo (HotelAVE)</t>
  </si>
  <si>
    <t xml:space="preserve">Michelle Russo, receiver — HotelAVE; also Acore Capital West Coast asset mgmt</t>
  </si>
  <si>
    <t xml:space="preserve">via hotelave.com</t>
  </si>
  <si>
    <t xml:space="preserve">—</t>
  </si>
  <si>
    <t xml:space="preserve">⭐ Jewels — call these first</t>
  </si>
  <si>
    <t xml:space="preserve">SF Standard: https://sfstandard.com/2026/01/20/oakland-moxy-hotel-closed/
TRD: https://therealdeal.com/san-francisco/2026/01/21/moxy-hotel-shutters-in-oakland-after-loan-default/
Oaklandside: https://oaklandside.org/2026/01/20/moxy-uptown-oakland-stops-taking-hotel-reservations-and-is-expected-to-close/</t>
  </si>
  <si>
    <t xml:space="preserve">Re-verified July 16: zero movement since January — no sale motion, no auction. Receiver Michelle Russo (HotelAVE) has a dark, brand-new 172-room building earning $0; a master lease is a receiver's dream. Second door: developer Tidewater Capital still carries a live '2225 Telegraph' page in its listings portfolio (tidewatercap.com/listings/2225-telegraph) — call them too, plus Acore's West Coast asset management.</t>
  </si>
  <si>
    <t xml:space="preserve">not-contacted</t>
  </si>
  <si>
    <t xml:space="preserve">Jul 16 2026 (report)</t>
  </si>
  <si>
    <t xml:space="preserve">Crystal Hotel — 'Residential Master Lease available'</t>
  </si>
  <si>
    <t xml:space="preserve">2766–2770 Mission St (at ~24th), Mission, SF</t>
  </si>
  <si>
    <t xml:space="preserve">Mission</t>
  </si>
  <si>
    <t xml:space="preserve">SF-other</t>
  </si>
  <si>
    <t xml:space="preserve">sro-hotel</t>
  </si>
  <si>
    <t xml:space="preserve">communal</t>
  </si>
  <si>
    <t xml:space="preserve">on-market</t>
  </si>
  <si>
    <t xml:space="preserve">q1-2027</t>
  </si>
  <si>
    <t xml:space="preserve">unknown</t>
  </si>
  <si>
    <t xml:space="preserve">$5.5M ask ($122k/room) · listed 2.5 YEARS = highly negotiable</t>
  </si>
  <si>
    <t xml:space="preserve">Call broker Richard Ehmer, (415) 225-5176 · rehmer@ehmergroup.com</t>
  </si>
  <si>
    <t xml:space="preserve">Richard Ehmer — The Ehmer Group</t>
  </si>
  <si>
    <t xml:space="preserve">(415) 225-5176</t>
  </si>
  <si>
    <t xml:space="preserve">rehmer@ehmergroup.com</t>
  </si>
  <si>
    <t xml:space="preserve">LoopNet listing: https://www.loopnet.com/Listing/2766-2770-Mission-St-San-Francisco-CA/30746850/
Showcase: https://www.showcase.com/2766-2770-mission-st-san-francisco-ca-94110/30746850/</t>
  </si>
  <si>
    <t xml:space="preserve">Published master-lease terms $500/room = $22,500/mo for all 45 rooms. Only 31/45 rooms permitted — pull Chapter 41 split from DBI. | CONFIRMED master-lease terms on the Realmo mirror: $500/room/month = $22,500/mo for the WHOLE 45-room building — less than half the low end of budget, and rooms at this exact building retail at $1,575/mo all-in (a 3x spread). $450k of recent cap-ex incl. soft-story seismic. Diligence flags: only 31 of 45 rooms are permitted; pull the Chapter 41 residential/tourist split from DBI; 24th &amp; Mission street conditions are improving under 2026 police surge but still rough. Someone already branded it 'Crystal Startup Hotel' once — the concept fits.</t>
  </si>
  <si>
    <t xml:space="preserve">Hill Castle Apartments — 160 units at $43k/unit basis</t>
  </si>
  <si>
    <t xml:space="preserve">1431 Jackson St, Lakeside, Downtown Oakland</t>
  </si>
  <si>
    <t xml:space="preserve">Downtown Oakland</t>
  </si>
  <si>
    <t xml:space="preserve">apartment-block</t>
  </si>
  <si>
    <t xml:space="preserve">private</t>
  </si>
  <si>
    <t xml:space="preserve">active</t>
  </si>
  <si>
    <t xml:space="preserve">yes</t>
  </si>
  <si>
    <t xml:space="preserve">Sold Mar 30, 2026 for $6.95M ALL-CASH ('downtown fire sale')</t>
  </si>
  <si>
    <t xml:space="preserve">Now run by MAG Management — property office (510) 444-6004</t>
  </si>
  <si>
    <t xml:space="preserve">MAG Management (property office); buyer via 3/30/26 deed pull, Alameda Co. recorder</t>
  </si>
  <si>
    <t xml:space="preserve">(510) 444-6004</t>
  </si>
  <si>
    <t xml:space="preserve">hillcastle.gaehwiler.com</t>
  </si>
  <si>
    <t xml:space="preserve">Hoodline, Apr 2026: https://hoodline.com/2026/04/oakland-s-hill-castle-dumps-for-6-95-million-in-downtown-fire-sale/
Building leasing page: https://hillcastle.gaehwiler.com/contactus.aspx</t>
  </si>
  <si>
    <t xml:space="preserve">Deep-dive done: buyer is almost certainly the Gaehwiler family (SF owner-operator; their MAG Management runs the building and it's already on their web platform). Studios $1,250–1,575, 1BRs $1,650–1,875, actively leasing with flex terms = classic lease-up pressure. Blocks from Lake Merritt + 12th St BART, Walk Score 98. Direct-deal family operator: MAG main (415) 550-0300; Lana August, tenancy manager, (415) 720-0820, lana.august@magmanagement.com; property office (510) 444-6004.</t>
  </si>
  <si>
    <t xml:space="preserve">Embassy Hotel — 84 rooms, on-market, unencumbered</t>
  </si>
  <si>
    <t xml:space="preserve">610 Polk St (at Turk), Van Ness corridor, SF</t>
  </si>
  <si>
    <t xml:space="preserve">Civic Center</t>
  </si>
  <si>
    <t xml:space="preserve">SF-priority</t>
  </si>
  <si>
    <t xml:space="preserve">q1-2027;expansion</t>
  </si>
  <si>
    <t xml:space="preserve">For sale via CBRE Hotels; rack rate $55–64/night = struggling</t>
  </si>
  <si>
    <t xml:space="preserve">CBRE Hotels listing team; lowball buy or master lease to owner</t>
  </si>
  <si>
    <t xml:space="preserve">CBRE Hotels — SF listing team (ask for 610 Polk St)</t>
  </si>
  <si>
    <t xml:space="preserve">CBRE SF (415) 772-0123 — verify</t>
  </si>
  <si>
    <t xml:space="preserve">cbre.com/properties</t>
  </si>
  <si>
    <t xml:space="preserve">Report §6e</t>
  </si>
  <si>
    <t xml:space="preserve">Hotel News Resource — CBRE listing: https://www.hotelnewsresource.com/article131697.html
Hotel site: https://www.theembassyhotelsf.com/</t>
  </si>
  <si>
    <t xml:space="preserve">The best size/location/price fit found in round 5: fee simple, no brand, no management contract, non-union — nothing standing between the owner and a master lease. At $55/night rack the hotel grosses ~$1,400/room/month at FULL occupancy; a guaranteed $1,100–1,300/room master lease beats their reality.</t>
  </si>
  <si>
    <t xml:space="preserve">Hotel Union Square — 131 rooms, dark since 2021</t>
  </si>
  <si>
    <t xml:space="preserve">114–120 Powell St, Union Square, SF</t>
  </si>
  <si>
    <t xml:space="preserve">Union Square</t>
  </si>
  <si>
    <t xml:space="preserve">dark</t>
  </si>
  <si>
    <t xml:space="preserve">New owner paid ~$30M vs $102M debt wiped</t>
  </si>
  <si>
    <t xml:space="preserve">Catch owner before he commits to hotel use</t>
  </si>
  <si>
    <t xml:space="preserve">Owner Mahmood Alam (Faizan Corp, Ukiah)</t>
  </si>
  <si>
    <t xml:space="preserve">(510) 862-3333 (per 2023 CEQA filing)</t>
  </si>
  <si>
    <t xml:space="preserve">alam786@aol.com ⚠ · CA SoS lookup: "Hotel Union Square LLC"</t>
  </si>
  <si>
    <t xml:space="preserve">SF Standard: https://sfstandard.com/2025/09/26/shuttered-union-square-hotel-finds-new-buyer/</t>
  </si>
  <si>
    <t xml:space="preserve">Shuttered ~5 years; sold Sept 2025 to investor Mahmood Alam at ~$229k/key with no announced plan. A low-basis owner holding a dark building = ideal master-lease counterparty. 131 genuinely nice rooms covers 60 people twice over; target $1,500–2,000/room.</t>
  </si>
  <si>
    <t xml:space="preserve">AAU dorm — 736 Jones St</t>
  </si>
  <si>
    <t xml:space="preserve">736 Jones St, Nob Hill, SF</t>
  </si>
  <si>
    <t xml:space="preserve">Nob Hill</t>
  </si>
  <si>
    <t xml:space="preserve">dorm</t>
  </si>
  <si>
    <t xml:space="preserve">bridge-sept;q1-2027;femme-house</t>
  </si>
  <si>
    <t xml:space="preserve">1055 Pine asks $20M; leases negotiable</t>
  </si>
  <si>
    <t xml:space="preserve">One motivated seller — M&amp;M brokers</t>
  </si>
  <si>
    <t xml:space="preserve">AAU Housing Office — existing landlord, warm intro</t>
  </si>
  <si>
    <t xml:space="preserve">via 79 New Montgomery switchboard</t>
  </si>
  <si>
    <t xml:space="preserve">academyart.edu/campus-athletics/housing</t>
  </si>
  <si>
    <t xml:space="preserve">TRD — $130M portfolio: https://therealdeal.com/san-francisco/2025/10/22/san-francisco-art-academy-to-sell-130-million-portfolio/
1055 Pine LoopNet: https://www.loopnet.com/Listing/1055-Pine-St-San-Francisco-CA/38157856/
AAU housing page: https://www.academyart.edu/campus-athletics/housing/
736 Jones: https://www.apartments.com/academy-of-art-university-san-francisco-ca/s6esxj6/</t>
  </si>
  <si>
    <t xml:space="preserve">Round-4 check: none of the dorms is formally listed — the $130M portfolio never included them (its residential pieces, 1055 Pine and 1946 Van Ness, are under contract). AAU's facilities page still shows all four as student housing, though 736 Jones and 860 Sutter were dropped from the current-housing page — mixed signals that only a direct ask resolves. Two routes: the existing landlord relationship, and Marcus &amp; Millichap (handling ALL AAU dispositions) for an off-market approach. Comp: the Commodore dorm-hotel traded at ~$13M (~$115k/key).</t>
  </si>
  <si>
    <t xml:space="preserve">AAU dorm — 860 Sutter St</t>
  </si>
  <si>
    <t xml:space="preserve">860 Sutter St, Nob Hill, SF</t>
  </si>
  <si>
    <t xml:space="preserve">bridge-sept;q1-2027;expansion</t>
  </si>
  <si>
    <t xml:space="preserve">AAU dorm — 1080 Bush St</t>
  </si>
  <si>
    <t xml:space="preserve">1080 Bush St, Nob Hill, SF</t>
  </si>
  <si>
    <t xml:space="preserve">AAU dorm — 680 Sutter St</t>
  </si>
  <si>
    <t xml:space="preserve">680 Sutter St, Nob Hill, SF</t>
  </si>
  <si>
    <t xml:space="preserve">Waterfront Hotel — closed, actively brokered</t>
  </si>
  <si>
    <t xml:space="preserve">10 Washington St, Jack London Square, Oakland</t>
  </si>
  <si>
    <t xml:space="preserve">Jack London Sq, Oakland</t>
  </si>
  <si>
    <t xml:space="preserve">Leasehold, 'fully unencumbered' — unsold a year+</t>
  </si>
  <si>
    <t xml:space="preserve">Call Berkadia (Kelso / Michels)</t>
  </si>
  <si>
    <t xml:space="preserve">Jared Kelso / Steve Michels — Berkadia</t>
  </si>
  <si>
    <t xml:space="preserve">646-432-7480 / 646-432-7475</t>
  </si>
  <si>
    <t xml:space="preserve">Port of Oakland + CIM consent needed</t>
  </si>
  <si>
    <t xml:space="preserve">Berkadia listing: https://properties.berkadia.com/waterfront-hotel-414425/
CBS — closure: https://www.cbsnews.com/sanfrancisco/news/oakland-landmark-waterfront-hotel-jack-london-square-closes/</t>
  </si>
  <si>
    <t xml:space="preserve">Verified July 2026: still unsold after 18 months, no price guidance — a stuck listing. Contacts: Jared Kelso 646-432-7480 / Steve Michels 646-432-7475 (Berkadia). Caveat: leasehold — land is Port of Oakland, ground lease runs through CIM Group, so Port consent likely needed. Comp: Homewood Suites Oakland just sold at $42k/key.</t>
  </si>
  <si>
    <t xml:space="preserve">1900 Broadway co-living block (verified pricing)</t>
  </si>
  <si>
    <t xml:space="preserve">Uptown Oakland, on top of 19th St BART</t>
  </si>
  <si>
    <t xml:space="preserve">co-living</t>
  </si>
  <si>
    <t xml:space="preserve">bridge-sept;expansion</t>
  </si>
  <si>
    <t xml:space="preserve">$1,803/bed listed · 4 wks free → ~$1,660 effective · block deal ≈ $1,400–1,550</t>
  </si>
  <si>
    <t xml:space="preserve">Negotiate 40–60 bed block</t>
  </si>
  <si>
    <t xml:space="preserve">Leasing (Bozzuto) · STAK · owner: Behring Companies (Colin Behring)</t>
  </si>
  <si>
    <t xml:space="preserve">844-932-4196 · (510) 925-4860</t>
  </si>
  <si>
    <t xml:space="preserve">live1900.com · stakspace.com</t>
  </si>
  <si>
    <t xml:space="preserve">Apartments.com: https://www.apartments.com/1900-broadway-oakland-ca/bht2eec/
live1900.com: https://www.live1900.com/
Zillow — 23 units: https://www.zillow.com/apartments/oakland-ca/1900-broadway/Ch7XFs/</t>
  </si>
  <si>
    <t xml:space="preserve">Verified live: co-living beds from $1,803 with 4 weeks free; ~23 units on Zillow = leverage. STAK sells Bronze/Silver/Gold apartment+coworking packages ('up to $60k/yr savings') — the group-block product exists in all but name. For 40–60 beds, go over the leasing office (844-932-4196) to owner Behring Companies (Colin Behring).</t>
  </si>
  <si>
    <t xml:space="preserve">Ora Apartments — REO, on market now</t>
  </si>
  <si>
    <t xml:space="preserve">1815 Alice St, Downtown Oakland</t>
  </si>
  <si>
    <t xml:space="preserve">Bargain / distressed</t>
  </si>
  <si>
    <t xml:space="preserve">Lender foreclosed at $25M vs $41M (2021); JLL listing</t>
  </si>
  <si>
    <t xml:space="preserve">Master lease or bulk-unit deal with lender-seller</t>
  </si>
  <si>
    <t xml:space="preserve">JLL: Ryan Wagner · Matt Kroger · Brandon Geraldo · Fatai Alashe</t>
  </si>
  <si>
    <t xml:space="preserve">(415) 706-7215 · (415) 395-7219 · (415) 395-7273 · (415) 395-7284</t>
  </si>
  <si>
    <t xml:space="preserve">firstname.lastname@jll.com</t>
  </si>
  <si>
    <t xml:space="preserve">Bargains / distressed</t>
  </si>
  <si>
    <t xml:space="preserve">TRD, May 2026: https://therealdeal.com/sanfrancisco/2026/05/08/ora-apartments-in-oakland-hit-market-after-foreclosure/</t>
  </si>
  <si>
    <t xml:space="preserve">Nearly-new building marketed 'below replacement cost.' A credit master tenant filling 74 units is exactly what a lender-seller wants while waiting for a sale.</t>
  </si>
  <si>
    <t xml:space="preserve">Moran + Telegraph Arts — one lender, 175 units</t>
  </si>
  <si>
    <t xml:space="preserve">570 21st St + 471 26th St, Uptown Oakland (0.4 mi apart)</t>
  </si>
  <si>
    <t xml:space="preserve">CWCapital took both ~50% below assessed (2026)</t>
  </si>
  <si>
    <t xml:space="preserve">One special-servicer negotiation covers everything</t>
  </si>
  <si>
    <t xml:space="preserve">CWCapital Asset Management</t>
  </si>
  <si>
    <t xml:space="preserve">(202) 715-9500</t>
  </si>
  <si>
    <t xml:space="preserve">sells via RealINSIGHT Marketplace (800) 915-7015</t>
  </si>
  <si>
    <t xml:space="preserve">Multifamily Dive: https://www.multifamilydive.com/news/oakland-multifamily-distress-auction-loan-default/814338/
TRD: https://therealdeal.com/sanfrancisco/2026/04/09/lender-forecloses-on-two-oakland-apartment-complexes/
Hoodline: https://hoodline.com/2026/03/foreclosure-shock-rocks-uptown-oakland-as-two-apartment-hubs-teeter/</t>
  </si>
  <si>
    <t xml:space="preserve">Both foreclosed spring 2026. A single counterparty controlling two nearby modern buildings = the whole program (and its expansion) in one deal, at distressed pricing. Also the strongest 'pair' on the board.</t>
  </si>
  <si>
    <t xml:space="preserve">1919 Market St — foreclosed new-build co-living</t>
  </si>
  <si>
    <t xml:space="preserve">West Oakland (former Greyhound terminal site)</t>
  </si>
  <si>
    <t xml:space="preserve">West Oakland</t>
  </si>
  <si>
    <t xml:space="preserve">sold</t>
  </si>
  <si>
    <t xml:space="preserve">Parkview bought at foreclosure for $37.5M (Jan 2026) vs $58.5M debt</t>
  </si>
  <si>
    <t xml:space="preserve">Pitch new low-basis owner</t>
  </si>
  <si>
    <t xml:space="preserve">TRD: https://therealdeal.com/sanfrancisco/2026/01/16/west-oakland-apartments-sell-at-foreclosure/
Multifamily Dive: https://www.multifamilydive.com/news/oakland-apartment-foreclosure-multifamily-distress/810263/</t>
  </si>
  <si>
    <t xml:space="preserve">Newly built by oWow with co-living-style layouts — unusually well suited to 40–60 beds. Owner at a 36% haircut basis needs income.</t>
  </si>
  <si>
    <t xml:space="preserve">AC Hotel / Residence Inn Oakland — lender-seized, 1 yr old</t>
  </si>
  <si>
    <t xml:space="preserve">1431 Jefferson St, Downtown Oakland</t>
  </si>
  <si>
    <t xml:space="preserve">Defaulted on $101M one year after opening; seized Apr 2025</t>
  </si>
  <si>
    <t xml:space="preserve">Approach the lender</t>
  </si>
  <si>
    <t xml:space="preserve">SF Standard: https://sfstandard.com/2026/01/20/oakland-moxy-hotel-closed/
TRD: https://therealdeal.com/sanfrancisco/2025/07/10/oakland-marriott-city-center-finds-buyer-at-foreclosure/</t>
  </si>
  <si>
    <t xml:space="preserve">Brand-new extended-stay product (kitchens!) under lender control — arguably the best hotel-side target in Oakland for quality per dollar.</t>
  </si>
  <si>
    <t xml:space="preserve">Courtyard Oakland Downtown — owner will take any exit</t>
  </si>
  <si>
    <t xml:space="preserve">988 Broadway, Oakland (Chinatown edge)</t>
  </si>
  <si>
    <t xml:space="preserve">Owner shopped it as a 150-bed shelter, then as 64 apartments</t>
  </si>
  <si>
    <t xml:space="preserve">3–5 yr master lease during entitlement</t>
  </si>
  <si>
    <t xml:space="preserve">Gaw Capital USA, SF office</t>
  </si>
  <si>
    <t xml:space="preserve">(415) 645-7000</t>
  </si>
  <si>
    <t xml:space="preserve">gawcapitalusa.com contact form</t>
  </si>
  <si>
    <t xml:space="preserve">TRD, Apr 2026: https://therealdeal.com/san-francisco/2026/04/16/hoteliers-look-to-convert-oakland-marriott-into-apartments/
SF YIMBY: https://sfyimby.com/2026/04/preliminary-application-for-hotel-to-housing-conversion-at-988-broadway-downtown-oakland.html</t>
  </si>
  <si>
    <t xml:space="preserve">Gaw Capital has tried everything with this building (and already lost the Marriott City Center next door to foreclosure). A residential master lease during their apartment-conversion entitlement fits their playbook exactly.</t>
  </si>
  <si>
    <t xml:space="preserve">Stanford Court — 4-star Nob Hill, receiver in place</t>
  </si>
  <si>
    <t xml:space="preserve">905 California St, Nob Hill, SF</t>
  </si>
  <si>
    <t xml:space="preserve">$105M default; foreclosure trial July 13, 2026; Eastdil marketing leasehold</t>
  </si>
  <si>
    <t xml:space="preserve">Pitch receiver a guaranteed 50–60 room block</t>
  </si>
  <si>
    <t xml:space="preserve">Eastdil Secured SF — ask for the Stanford Court deal team</t>
  </si>
  <si>
    <t xml:space="preserve">(415) 228-2900</t>
  </si>
  <si>
    <t xml:space="preserve">101 California St #2950</t>
  </si>
  <si>
    <t xml:space="preserve">TRD, Mar 2026: https://therealdeal.com/san-francisco/2026/03/03/nob-hill-hotel-hits-market-again-as-foreclosure-looms/
SFist — case background: https://sfist.com/2025/01/17/nob-hills-posh-stanford-court-hotel-hit-with-foreclosure-lawsuit-over-claims-of-missed-mortgage-payments/</t>
  </si>
  <si>
    <t xml:space="preserve">Foreclosure trial was held July 13 — no published outcome yet (press lags bench rulings; check the SF Superior Court docket: Deutsche Bank AG v. Pine &amp; Powell Partners). Either way the live counterparties are unchanged: receiver Chad Crandell (CHMWarnick) + Eastdil. A guaranteed 50–60 room block at $1,800–2,200 is 4-star quality — the 'much nicer rooms' winner.</t>
  </si>
  <si>
    <t xml:space="preserve">Parkmerced — bulk units from a receiver</t>
  </si>
  <si>
    <t xml:space="preserve">3711 19th Ave, SF (SW corner, near SFSU)</t>
  </si>
  <si>
    <t xml:space="preserve">Parkmerced</t>
  </si>
  <si>
    <t xml:space="preserve">In receivership since Mar 2025 ($1.8B default)</t>
  </si>
  <si>
    <t xml:space="preserve">60–120 bed corporate block at a steep discount</t>
  </si>
  <si>
    <t xml:space="preserve">Leasing; receiver = Douglas Wilson Companies</t>
  </si>
  <si>
    <t xml:space="preserve">(415) 689-6252</t>
  </si>
  <si>
    <t xml:space="preserve">lease@rentbt.com</t>
  </si>
  <si>
    <t xml:space="preserve">TRD: https://therealdeal.com/san-francisco/2025/03/20/sfs-largest-apartment-complex-ordered-into-receivership/
SF Standard: https://sfstandard.com/2025/04/18/parkmerced-billion-dollar-housing-project-timeline/</t>
  </si>
  <si>
    <t xml:space="preserve">The fastest 60+ beds in SF at scale: 2–3BR townhomes at 2/room lands near $1,500/bed. Not charming, but September-ready and endlessly scalable. Rent-control structuring needs counsel.</t>
  </si>
  <si>
    <t xml:space="preserve">Mosser SRO — 1000 Market St (owner stuck)</t>
  </si>
  <si>
    <t xml:space="preserve">1000 Market / Turk St, Mid-Market SF</t>
  </si>
  <si>
    <t xml:space="preserve">Owner tried converting rooms to tourist use — rejected by Planning (Mar 2025)</t>
  </si>
  <si>
    <t xml:space="preserve">Master-lease the rooms he can't fill</t>
  </si>
  <si>
    <t xml:space="preserve">Mosser Companies</t>
  </si>
  <si>
    <t xml:space="preserve">(415) 673-1608</t>
  </si>
  <si>
    <t xml:space="preserve">mosserliving.com/contact</t>
  </si>
  <si>
    <t xml:space="preserve">48 Hills: https://48hills.org/2025/03/planning-commission-rejects-landlord-plan-to-convert-sro-rooms-to-tourist-hotels/
SFADC: https://sfadc.org/2025/03/21/community-victory-planning-commission-rejects-mosser-sro-attempt-to-convert-sro-rooms-to-tourist-hotel/</t>
  </si>
  <si>
    <t xml:space="preserve">An owner who publicly argued residential SRO doesn't pencil, now stuck with rooms he can't convert. A block lease at $1,100–1,400/room solves his problem and yours.</t>
  </si>
  <si>
    <t xml:space="preserve">Veritas &amp; Ballast portfolios — bank-controlled SF buildings</t>
  </si>
  <si>
    <t xml:space="preserve">Tenderloin / Civic Center / citywide SF</t>
  </si>
  <si>
    <t xml:space="preserve">Receiver/lender controlled</t>
  </si>
  <si>
    <t xml:space="preserve">Building-level master-lease conversations</t>
  </si>
  <si>
    <t xml:space="preserve">Receiver / lender — identify via SF Assessor-Recorder deed pull</t>
  </si>
  <si>
    <t xml:space="preserve">Prospect Hill Capital (Veritas) / RBC (Ballast)</t>
  </si>
  <si>
    <t xml:space="preserve">Report §6b</t>
  </si>
  <si>
    <t xml:space="preserve">Mission Local: https://missionlocal.org/2025/09/sf-veritas-foreclosure-652-million-debt/
Multifamily Dive — Ballast: https://www.multifamilydive.com/news/goldman-sachs-ballast-investments-distressed-loans-san-francisco/722955/</t>
  </si>
  <si>
    <t xml:space="preserve">Portfolio play — no single building identified yet; find the receiver/lender contact first. | SF's two mega-distress portfolios. Whoever holds these post-auction inherits scattered vacancy in exactly the neighborhoods with SRO/studio stock. Worth a call to receiver Wald Realty Advisors / Hamilton Zanze.</t>
  </si>
  <si>
    <t xml:space="preserve">St. Anne's Home — closed 6-acre care campus</t>
  </si>
  <si>
    <t xml:space="preserve">300 Lake St, Inner Richmond, SF</t>
  </si>
  <si>
    <t xml:space="preserve">Inner Richmond</t>
  </si>
  <si>
    <t xml:space="preserve">campus</t>
  </si>
  <si>
    <t xml:space="preserve">Listed $58.5M (May 2025); no closed sale announced</t>
  </si>
  <si>
    <t xml:space="preserve">Interim master lease from whoever wins it</t>
  </si>
  <si>
    <t xml:space="preserve">Greg Zielinski — Zielinski Companies (runs the sale for the order)</t>
  </si>
  <si>
    <t xml:space="preserve">(800) 489-2150 / (314) 644-2150</t>
  </si>
  <si>
    <t xml:space="preserve">mail@zielinskico.com</t>
  </si>
  <si>
    <t xml:space="preserve">TRD: https://therealdeal.com/san-francisco/2025/05/12/catholic-order-lists-sf-nursing-home-site-for-59-million/
SF Standard: https://sfstandard.com/2025/01/09/st-annes-home-little-sisters-poor-to-close-sf/</t>
  </si>
  <si>
    <t xml:space="preserve">Closed 2025 after 124 years (Little Sisters of the Poor). Any developer buyer faces a 3–6 year rezoning window — a ~100-bed interim lease of a fully built residential building is very plausible. Chase the winning bidder.</t>
  </si>
  <si>
    <t xml:space="preserve">Santa Sabina Center — closed convent retreat</t>
  </si>
  <si>
    <t xml:space="preserve">25 Magnolia Ave, San Rafael (25–30 min to SF)</t>
  </si>
  <si>
    <t xml:space="preserve">San Rafael</t>
  </si>
  <si>
    <t xml:space="preserve">North Bay</t>
  </si>
  <si>
    <t xml:space="preserve">For sale via faith-property specialist; price undisclosed</t>
  </si>
  <si>
    <t xml:space="preserve">Mission-aligned lease-to-own pitch</t>
  </si>
  <si>
    <t xml:space="preserve">Dominic Dutra — 3D Strategies</t>
  </si>
  <si>
    <t xml:space="preserve">(510) 366-9931</t>
  </si>
  <si>
    <t xml:space="preserve">ddutra@3Dstrategies.com</t>
  </si>
  <si>
    <t xml:space="preserve">Listing background: https://phillipacriswell.com/blog/historic-bay-area-retreat-will-go-for-sale
Yelp — closed: https://www.yelp.com/biz/santa-sabina-center-san-rafael</t>
  </si>
  <si>
    <t xml:space="preserve">Dominican Sisters closed it Feb 2026. The buyer pool for convents is tiny — a residential-education story plus lease-to-own could win at a low number. Turnkey: dining hall, library, conference space.</t>
  </si>
  <si>
    <t xml:space="preserve">Ferns Hotel — price-cut, income-hungry</t>
  </si>
  <si>
    <t xml:space="preserve">415–417 15th St, Downtown Oakland</t>
  </si>
  <si>
    <t xml:space="preserve">$4.32M, cut from $4.98M; gross income only $377k/yr</t>
  </si>
  <si>
    <t xml:space="preserve">Lowball master lease ≈ $800–900/room matches current gross</t>
  </si>
  <si>
    <t xml:space="preserve">Fred Lewis</t>
  </si>
  <si>
    <t xml:space="preserve">(209) 522-9999</t>
  </si>
  <si>
    <t xml:space="preserve">info@hotdealsoakland.com</t>
  </si>
  <si>
    <t xml:space="preserve">Offering brochure (PDF): https://images3.loopnet.com/d2/fcQavuW6QnYRr5iaTP1pTcdxUIxr5FCekoZrGvUWJoQ/document.pdf</t>
  </si>
  <si>
    <t xml:space="preserve">Recently rehabbed (20 units redone, new boiler, solar), 1 block to 19th St BART. Broker Fred Lewis, (209) 522-9999. A master lease at $800–900/room roughly equals what the whole building earns today.</t>
  </si>
  <si>
    <t xml:space="preserve">Alameda Point BEQ — city signs as-is 5-yr leases</t>
  </si>
  <si>
    <t xml:space="preserve">Alameda Point (former Naval Air Station), Alameda</t>
  </si>
  <si>
    <t xml:space="preserve">Alameda</t>
  </si>
  <si>
    <t xml:space="preserve">City-owned, parked in 'Phase 2 future transactions' = unprogrammed</t>
  </si>
  <si>
    <t xml:space="preserve">Call JLL: Francisco Torres (510) 213-3580 / Kristi Childers (510) 812-2878</t>
  </si>
  <si>
    <t xml:space="preserve">JLL: Francisco Torres / Kristi Childers · property mgmt</t>
  </si>
  <si>
    <t xml:space="preserve">(510) 213-3580 / (510) 812-2878 · (510) 749-0304</t>
  </si>
  <si>
    <t xml:space="preserve">alamedapoint@lpc.com</t>
  </si>
  <si>
    <t xml:space="preserve">Alameda Point leasing: https://www.alamedapoint.co/leasing
Council preview, Jan 2026: https://alamedapost.com/news/january-20-city-council-preview/</t>
  </si>
  <si>
    <t xml:space="preserve">The city already signs market-rate as-is 5-year leases at the Point (e.g. Kai Concepts, Bldg 168). A barracks building is the exact format needed; expect condition/entitlement work. Also trace the never-used former Navy BOQ at Todd St &amp; Pan Am Way (sold by the school district in 2021, owner unknown).</t>
  </si>
  <si>
    <t xml:space="preserve">3700 California St — vacant hospital campus, years of runway</t>
  </si>
  <si>
    <t xml:space="preserve">Presidio Heights, SF (former CPMC campus)</t>
  </si>
  <si>
    <t xml:space="preserve">Presidio Heights</t>
  </si>
  <si>
    <t xml:space="preserve">Owner Prado Group still in environmental review — no construction start</t>
  </si>
  <si>
    <t xml:space="preserve">Pitch Prado Group an interim activation lease</t>
  </si>
  <si>
    <t xml:space="preserve">Prado Group</t>
  </si>
  <si>
    <t xml:space="preserve">pradogroup.com contact · 3700calsf.com</t>
  </si>
  <si>
    <t xml:space="preserve">SF YIMBY — EIR: https://sfyimby.com/2025/04/environmental-review-available-for-3700-california-street-in-presidio-heights-san-francisco.html
SF Standard: https://sfstandard.com/2024/04/20/prado-group-redeveloping-hospitals-presidio-heights/</t>
  </si>
  <si>
    <t xml:space="preserve">Multi-year-vacant campus with a carrying-cost-burdened owner and 1–2+ years before demolition — textbook interim master lease. Caveat: hospital floorplates need change-of-use work; target the support/office buildings first.</t>
  </si>
  <si>
    <t xml:space="preserve">SF Archdiocese liquidation — get in before the brokers</t>
  </si>
  <si>
    <t xml:space="preserve">Citywide SF + St. Vincent's, San Rafael</t>
  </si>
  <si>
    <t xml:space="preserve">Citywide / San Rafael</t>
  </si>
  <si>
    <t xml:space="preserve">$395M abuse settlement (June 30, 2026) forces sales over 6–18 months</t>
  </si>
  <si>
    <t xml:space="preserve">Archdiocese Real Property office + Catholic Charities (Tony Alioto, AVAlioto@CatholicCharitiesSF.org)</t>
  </si>
  <si>
    <t xml:space="preserve">Catholic Charities: Tony Alioto; Archdiocese Real Property office</t>
  </si>
  <si>
    <t xml:space="preserve">AVAlioto@CatholicCharitiesSF.org</t>
  </si>
  <si>
    <t xml:space="preserve">ABC — settlement: https://abcnews.com/US/wireStory/san-francisco-archdiocese-agrees-pay-395-million-settle-134323951
Catholic Charities: https://catholiccharitiessf.org/st-vincents-school-for-boys/housing-site/
KTVU — surplus list: https://www.ktvu.com/news/advocates-of-sex-abuse-victims-want-sf-archdiocese-to-sell-unused-property-as-reparations</t>
  </si>
  <si>
    <t xml:space="preserve">No public sale list exists yet — which is exactly why to call now. Flagged surplus: St. Thomas the Apostle school (~$25M), Menlo Park seminary acreage, St. Vincent's San Rafael (development 5+ years out; historic dorm buildings could take an interim lease). Oakland Diocese settled $143.5M — same dynamic.</t>
  </si>
  <si>
    <t xml:space="preserve">SureStay Plus Richmond — active default, 108 rooms</t>
  </si>
  <si>
    <t xml:space="preserve">Richmond (near I-80, ~20 min to Oakland)</t>
  </si>
  <si>
    <t xml:space="preserve">Richmond (East Bay)</t>
  </si>
  <si>
    <t xml:space="preserve">In default on an $11.6M loan now</t>
  </si>
  <si>
    <t xml:space="preserve">Watch for receiver/auction; pitch the lender</t>
  </si>
  <si>
    <t xml:space="preserve">monitor — pitch whoever takes the keys</t>
  </si>
  <si>
    <t xml:space="preserve">via Bisnow coverage / county filings</t>
  </si>
  <si>
    <t xml:space="preserve">Bisnow, Jul 2026: https://www.bisnow.com/san-francisco/news/hotel/bay-area-hotel-market-recovering-distress-still-looms-135317</t>
  </si>
  <si>
    <t xml:space="preserve">Live distress in progress — the next Hyatt House-style giveaway could be here. Location is the tradeoff; monitor and pitch whoever takes the keys.</t>
  </si>
  <si>
    <t xml:space="preserve">Hotel Whitcomb floors — Blackstone wants an interim operator</t>
  </si>
  <si>
    <t xml:space="preserve">1231 Market St, Mid-Market SF</t>
  </si>
  <si>
    <t xml:space="preserve">Blackstone foreclosed Oct 2025; 'exploring new operators before offloading'</t>
  </si>
  <si>
    <t xml:space="preserve">Pitch Blackstone Mortgage Trust as the interim operator</t>
  </si>
  <si>
    <t xml:space="preserve">Blackstone Real Estate — asset mgmt; 'exploring new operators'</t>
  </si>
  <si>
    <t xml:space="preserve">via Blackstone RE press office / Hotel Whitcomb GM</t>
  </si>
  <si>
    <t xml:space="preserve">SF Standard, Oct 2025: https://sfstandard.com/2025/10/02/hotel-whitcomb-mid-market-blackstone-rfr/</t>
  </si>
  <si>
    <t xml:space="preserve">UPGRADED from ruled-out: the lender is publicly looking for exactly what we are — an interim operator for a building that already housed people for 33 months (city shelter contract, ~$108M). Take a floor block, not the whole 459. Condition needs inspection after years dark.</t>
  </si>
  <si>
    <t xml:space="preserve">Salvation Army McFee Center — 96-bed building in entitlement limbo</t>
  </si>
  <si>
    <t xml:space="preserve">1500 Valencia St + 3500 Cesar Chavez, Mission, SF</t>
  </si>
  <si>
    <t xml:space="preserve">Listed Feb 2026 at $58M (land play) — interim income wanted</t>
  </si>
  <si>
    <t xml:space="preserve">Broker: Catherine Marcus Bassick, Douglas Elliman Commercial</t>
  </si>
  <si>
    <t xml:space="preserve">Catherine Bassick — Douglas Elliman (listing broker)</t>
  </si>
  <si>
    <t xml:space="preserve">elliman.com agent profile</t>
  </si>
  <si>
    <t xml:space="preserve">SF Standard: https://sfstandard.com/2026/02/19/salvation-army-site-listing-mission/
TRD: https://therealdeal.com/san-francisco/2026/02/20/san-francisco-salvation-army-site-for-sale-for-58-million/</t>
  </si>
  <si>
    <t xml:space="preserve">$58M is a land-value ask that will take years to close and entitle. A seller holding a 96-bed residential building through a long sale/entitlement cycle is a textbook interim-master-lease counterparty — holding income strengthens their sale.</t>
  </si>
  <si>
    <t xml:space="preserve">⏰ Mason at Hive — auction JULY 28 (12 days)</t>
  </si>
  <si>
    <t xml:space="preserve">2350–2380 Valley St + 421 24th St, Uptown Oakland</t>
  </si>
  <si>
    <t xml:space="preserve">$39.7M loan defaulted; assessed ~$36M; foreclosure auction July 28, 2026</t>
  </si>
  <si>
    <t xml:space="preserve">Track the auction; approach the winner (or reverting lender) immediately after</t>
  </si>
  <si>
    <t xml:space="preserve">TRD, Jul 13 2026: https://therealdeal.com/san-francisco/2026/07/13/oakland-apartments-headed-to-foreclosure-after-default/</t>
  </si>
  <si>
    <t xml:space="preserve">Foreclosure auction was July 28, 2026 — find out who won. | Verified July 16: auction still ON for July 28, no postponement/bankruptcy — and the building is already VACANT (FPI Management shows it closed), so the winner inherits 105 empty modern units and needs occupancy from day one. Ghielmetti says he's 'working with lenders on a resolution' — a pre-auction workout is possible; pitch both sides. Lenders: Chicago Title + Bellwether Enterprise.</t>
  </si>
  <si>
    <t xml:space="preserve">University Inn &amp; Suites Berkeley — everyone is motivated</t>
  </si>
  <si>
    <t xml:space="preserve">920 University Ave, Berkeley</t>
  </si>
  <si>
    <t xml:space="preserve">Berkeley</t>
  </si>
  <si>
    <t xml:space="preserve">Bankruptcy, FOUR failed sales, lender (Wilmington Trust) moving to foreclose</t>
  </si>
  <si>
    <t xml:space="preserve">Approach via bankruptcy counsel / Wilmington Trust</t>
  </si>
  <si>
    <t xml:space="preserve">TRD, Apr 2026: https://therealdeal.com/san-francisco/2026/04/16/berkeley-hotel-faces-foreclosure-after-sale-attempts-fail/</t>
  </si>
  <si>
    <t xml:space="preserve">An affordable-housing conversion buyer fell through in March 2026. A hotel nobody can sell, near UC Berkeley, with a lender trying to lift the stay = maximum desperation. 113 rooms covers 60+ with headroom; Berkeley location works for a split-campus model with the Southside rooming houses.</t>
  </si>
  <si>
    <t xml:space="preserve">Hotel Avante + Wild Palms — one owner, both in default (Peninsula)</t>
  </si>
  <si>
    <t xml:space="preserve">860 E El Camino Real, Mountain View + 801 E Fremont Ave, Sunnyvale</t>
  </si>
  <si>
    <t xml:space="preserve">Mountain View / Sunnyvale</t>
  </si>
  <si>
    <t xml:space="preserve">Peninsula</t>
  </si>
  <si>
    <t xml:space="preserve">Combined $54.1M loan in default (NOD Mar 2026, matured Jan 2026)</t>
  </si>
  <si>
    <t xml:space="preserve">One conversation: owners Stephen Conley (JdV founder) &amp; Jeffrey Eisenberg</t>
  </si>
  <si>
    <t xml:space="preserve">TRD, Mar 2026: https://therealdeal.com/san-francisco/2026/03/25/default-looms-for-two-more-bay-area-hotels/</t>
  </si>
  <si>
    <t xml:space="preserve">A hospitality-literate owner facing a matured loan — a master lease that stabilizes NOI pre-foreclosure is a lifeline for him. 91-room Avante fits the cohort exactly; Wild Palms adds 200+ rooms of expansion. Peninsula/Caltrain geography if the program wants a South Bay campus.</t>
  </si>
  <si>
    <t xml:space="preserve">San Jose distress cluster</t>
  </si>
  <si>
    <t xml:space="preserve">La Quinta 1036 N 4th St (59 rms, built 2023) + Fontaine Rd cluster (256 rms)</t>
  </si>
  <si>
    <t xml:space="preserve">San Jose</t>
  </si>
  <si>
    <t xml:space="preserve">All in active loan default</t>
  </si>
  <si>
    <t xml:space="preserve">Pitch owners/lenders; new-build La Quinta is the quality pick</t>
  </si>
  <si>
    <t xml:space="preserve">TRD, May 2026: https://therealdeal.com/san-francisco/2026/05/28/another-bay-area-hotel-flops-into-loan-default/
TRD, Jun 2026: https://therealdeal.com/san-francisco/2026/06/05/another-san-jose-hotel-falls-into-default/
Hoodline — Fontaine: https://hoodline.com/2026/02/san-jose-motel-boss-slams-bankruptcy-brakes-on-foreclosure-fight/</t>
  </si>
  <si>
    <t xml:space="preserve">La Quinta: $16M construction loan in default on a 2023 building — new-build quality at distress leverage, near Civic Center VTA. Fontaine Rd: Fontaine Inn + Motel 6/Super 8 (204 rms) both in default; East SJ location is car-dependent. Only relevant if the program considers a South Bay campus.</t>
  </si>
  <si>
    <t xml:space="preserve">NDNU Belmont — six mothballed residence halls</t>
  </si>
  <si>
    <t xml:space="preserve">1500 Ralston Ave, Belmont (Caltrain ~1 mi)</t>
  </si>
  <si>
    <t xml:space="preserve">Belmont</t>
  </si>
  <si>
    <t xml:space="preserve">Direct approach</t>
  </si>
  <si>
    <t xml:space="preserve">UC Investments bought Sept 2025; NDNU leases back up to 5 years</t>
  </si>
  <si>
    <t xml:space="preserve">Approach UC Investments (landlord) + NDNU (operator) jointly</t>
  </si>
  <si>
    <t xml:space="preserve">GlobeNewswire: https://www.globenewswire.com/news-release/2025/09/29/3158017/0/en/Notre-Dame-de-Namur-University-Announces-the-Completed-Sale-of-the-Belmont-Campus-to-UC-Investments.html
NDNU FAQ: https://www.ndnu.edu/wp-content/uploads/NDNU-Property-Sale-to-UC-Investments-FAQs.pdf</t>
  </si>
  <si>
    <t xml:space="preserve">Round-5 check: NDNU's own site says 'on-campus housing is not available' — six residence buildings sit mothballed and NO public document accounts for them. That silence is the opening: nobody else is pitching for these beds. Peninsula option; bed counts need a direct ask.</t>
  </si>
  <si>
    <t xml:space="preserve">CCA surplus dorms — perfect bridge year</t>
  </si>
  <si>
    <t xml:space="preserve">Founders Hall, 188 Hooper St, Design District, SF</t>
  </si>
  <si>
    <t xml:space="preserve">Design District / Potrero</t>
  </si>
  <si>
    <t xml:space="preserve">Co-living / bridge</t>
  </si>
  <si>
    <t xml:space="preserve">School closing; Vanderbilt takes over 2027-28</t>
  </si>
  <si>
    <t xml:space="preserve">Call CCA administration/housing about a 2026-27 block</t>
  </si>
  <si>
    <t xml:space="preserve">Charles Eden, NCCD President → Capstone Management → housing@cca.edu</t>
  </si>
  <si>
    <t xml:space="preserve">(512) 322-9650</t>
  </si>
  <si>
    <t xml:space="preserve">geden@nccdevelopment.org</t>
  </si>
  <si>
    <t xml:space="preserve">NCCD project page: https://nccdevelopment.org/master-portfolio/california-college-of-the-arts
CCA intern-housing precedent: https://portal.cca.edu/thriving/housing-dining-resed/resident-halls/summer-intern-housing-cca/
SF Standard — closure: https://sfstandard.com/2026/01/16/cca-president-david-howse-closure-shocked-art-world/</t>
  </si>
  <si>
    <t xml:space="preserve">~270 surplus beds 2026-27. Attack order: Charles Eden, NCCD (512) 322-9650 geden@nccdevelopment.org → Capstone Management → housing@cca.edu. Precedent: Blattner Hall rents to non-CCA interns at $69/night. | Round-5 deep-dive strengthens this: Founders Hall is ~520 beds, owned via a $90M P3 with NCCD — and a bondholder-side owner has every incentive to backfill empty beds. PRECEDENT EXISTS: CCA already rents beds to non-CCA interns at Blattner Hall ($69/night, run by Capstone Management). Attack order: (1) Charles Eden, NCCD President, 512-322-9650, geden@nccdevelopment.org; (2) Capstone Management Partners; (3) housing@cca.edu / (415) 703-9500.</t>
  </si>
  <si>
    <t xml:space="preserve">Boston Hotel (SRO)</t>
  </si>
  <si>
    <t xml:space="preserve">140 Turk St, SF</t>
  </si>
  <si>
    <t xml:space="preserve">Pair / cluster</t>
  </si>
  <si>
    <t xml:space="preserve">q1-2027;femme-house</t>
  </si>
  <si>
    <t xml:space="preserve">$1.95M (~$61k/key)</t>
  </si>
  <si>
    <t xml:space="preserve">Lowball both; Blue broker: Theodore Wong (Compass), 650-228-9930</t>
  </si>
  <si>
    <t xml:space="preserve">Jag Patel — Lee &amp; Associates</t>
  </si>
  <si>
    <t xml:space="preserve">(415) 517-9856</t>
  </si>
  <si>
    <t xml:space="preserve">jpatel@lee-associates.com</t>
  </si>
  <si>
    <t xml:space="preserve">On-market listings</t>
  </si>
  <si>
    <t xml:space="preserve">Blue Hotel LoopNet: https://www.loopnet.com/Listing/620-OFarrell-St-San-Francisco-CA/25102642/
LoopNet SF hotels: https://www.loopnet.com/search/hotels/san-francisco-ca/for-sale/
620 O'Farrell Compass: https://www.compass.com/listing/620-ofarrell-street-san-francisco-ca-94109/1860335630965776937/</t>
  </si>
  <si>
    <t xml:space="preserve">The cheapest way to control ~45 rooms in SF ($4.25M combined ≈ 5 years of rent budget, or master-lease both). Blue Hotel's 415+ days on market and price cut = real desperation. Add Motel 6 Eddy St (68 rooms, 2 blocks away) to scale past 100.</t>
  </si>
  <si>
    <t xml:space="preserve">Blue Hotel</t>
  </si>
  <si>
    <t xml:space="preserve">620–626 O'Farrell St, SF</t>
  </si>
  <si>
    <t xml:space="preserve">femme-house</t>
  </si>
  <si>
    <t xml:space="preserve">$2.3M (cut from $2.6M)</t>
  </si>
  <si>
    <t xml:space="preserve">Theodore Wong — Compass Commercial</t>
  </si>
  <si>
    <t xml:space="preserve">(650) 228-9930</t>
  </si>
  <si>
    <t xml:space="preserve">Adams Point cluster (6 listings)</t>
  </si>
  <si>
    <t xml:space="preserve">469 Van Buren + 286 Lenox + 303 Lee + 369 Palm, Lake Merritt, Oakland</t>
  </si>
  <si>
    <t xml:space="preserve">Lake Merritt, Oakland</t>
  </si>
  <si>
    <t xml:space="preserve">Pairs $11.9–12.1M</t>
  </si>
  <si>
    <t xml:space="preserve">Lease or buy any two, 3-min walk apart</t>
  </si>
  <si>
    <t xml:space="preserve">Matt Treadway — The Lapham Company</t>
  </si>
  <si>
    <t xml:space="preserve">(415) 640-6411 · office (510) 594-7600</t>
  </si>
  <si>
    <t xml:space="preserve">info@laphamcompany.com</t>
  </si>
  <si>
    <t xml:space="preserve">Pairs &amp; clusters</t>
  </si>
  <si>
    <t xml:space="preserve">LoopNet Adams Point: https://www.loopnet.com/search/apartment-buildings/adams-point-oakland-ca/for-sale/</t>
  </si>
  <si>
    <t xml:space="preserve">Six active multifamily listings in one walkable pocket near Lake Merritt/19th St BART. Best pairing: 469 Van Buren + 286 Lenox ≈ 50–60 beds. Oakland's softness makes lease-with-option pitches credible on all of them.</t>
  </si>
  <si>
    <t xml:space="preserve">Berkeley rooming-house block (White House / G-House / Piedmont Palace / TBG)</t>
  </si>
  <si>
    <t xml:space="preserve">Piedmont Ave + Haste/Dwight, Southside Berkeley</t>
  </si>
  <si>
    <t xml:space="preserve">$1,050–1,480/bed</t>
  </si>
  <si>
    <t xml:space="preserve">Block-book across 2–3 buildings; TBG = one operator</t>
  </si>
  <si>
    <t xml:space="preserve">TBG Property Management</t>
  </si>
  <si>
    <t xml:space="preserve">(510) 907-6365 (call/text/WhatsApp)</t>
  </si>
  <si>
    <t xml:space="preserve">leasing@tbgpm.com · hello@tbgpm.com</t>
  </si>
  <si>
    <t xml:space="preserve">White House — och.berkeley.edu: https://och.berkeley.edu/housing/property/white-house-rooming-house-3-blocks-to-ucb-southside-large-private-and-shared-furnished-rooms/ocp8826vp1
G-House: https://www.homes.com/property/g-house-berkeley-ca/17qx1jtb58wqq/
Piedmont Palace: https://www.homes.com/property/piedmont-palace-berkeley-ca/ktkh0krec3rf3/
TBG: https://tbgpm.com/</t>
  </si>
  <si>
    <t xml:space="preserve">An operating cluster of by-the-bed furnished buildings within ~3 blocks, with Aug/Sept academic-year move-ins. Lowest execution risk of any pair play; BART to SF. TBG manages multiple adjacent buildings — a single master-lease counterparty.</t>
  </si>
  <si>
    <t xml:space="preserve">1538 Polk St + AAU cluster pairing</t>
  </si>
  <si>
    <t xml:space="preserve">Polk Gulch / Lower Nob Hill, SF</t>
  </si>
  <si>
    <t xml:space="preserve">$4.5M ask</t>
  </si>
  <si>
    <t xml:space="preserve">Pair with an AAU dorm lease</t>
  </si>
  <si>
    <t xml:space="preserve">Brian Leung / Jeremy Lee — Compass Commercial</t>
  </si>
  <si>
    <t xml:space="preserve">(415) 278-7838 / (650) 219-3989</t>
  </si>
  <si>
    <t xml:space="preserve">brian.leung@compass.com · jeremy.lee@compass.com</t>
  </si>
  <si>
    <t xml:space="preserve">LoopNet Nob Hill apartments: https://www.loopnet.com/search/apartment-buildings/nob-hill-san-francisco-ca/for-sale/</t>
  </si>
  <si>
    <t xml:space="preserve">Cheap 43-unit building walking distance from the AAU dorm cluster — a purchase-or-lease complement if AAU only gives up one building.</t>
  </si>
  <si>
    <t xml:space="preserve">Villages at Treasure Island — cheapest beds in SF proper</t>
  </si>
  <si>
    <t xml:space="preserve">410 Avenue of the Palms, Treasure Island, SF</t>
  </si>
  <si>
    <t xml:space="preserve">Treasure Island</t>
  </si>
  <si>
    <t xml:space="preserve">Premium value</t>
  </si>
  <si>
    <t xml:space="preserve">From ~$2,600/townhome = $870–1,300/bed</t>
  </si>
  <si>
    <t xml:space="preserve">Confirm 2026–27 unit runway with John Stewart Co.</t>
  </si>
  <si>
    <t xml:space="preserve">John Stewart Co. leasing</t>
  </si>
  <si>
    <t xml:space="preserve">(415) 834-0211</t>
  </si>
  <si>
    <t xml:space="preserve">jsco.net form</t>
  </si>
  <si>
    <t xml:space="preserve">Premium value &amp; co-living / bridge</t>
  </si>
  <si>
    <t xml:space="preserve">Apartments.com: https://www.apartments.com/villages-at-treasure-island-san-francisco-ca/87189j0/
John Stewart Co.: https://jsco.net/management/affordable-market-rate-housing/the-villages-at-treasure-island/
tisf.com: https://www.tisf.com/live-here</t>
  </si>
  <si>
    <t xml:space="preserve">Whole homes with living rooms and yards at pod prices. 15–20 townhomes = 40–60 beds. Caveats: redevelopment is phasing interim housing out (confirm runway), and it's a ferry/Muni commute.</t>
  </si>
  <si>
    <t xml:space="preserve">FOUND Study SF — built for exactly this</t>
  </si>
  <si>
    <t xml:space="preserve">16 Turk St / 25 Mason St, Mid-Market SF</t>
  </si>
  <si>
    <t xml:space="preserve">bridge-sept;q1-2027;femme-house;expansion</t>
  </si>
  <si>
    <t xml:space="preserve">$700–1,900/bed ALL-IN (furniture, wifi, utilities), 4/5/9/12-mo terms</t>
  </si>
  <si>
    <t xml:space="preserve">Group contract (they already do university blocks)</t>
  </si>
  <si>
    <t xml:space="preserve">Group/institutional advisor · SF GM</t>
  </si>
  <si>
    <t xml:space="preserve">(917) 551-5588 · (628) 246-9210 ⚠ · corporate (866) 341-2818</t>
  </si>
  <si>
    <t xml:space="preserve">gm@sf.foundstudy.com</t>
  </si>
  <si>
    <t xml:space="preserve">foundstudy.com: https://www.foundstudy.com/sanfrancisco
RentCafe pricing: https://www.rentcafe.com/apartments/ca/san-francisco/25-mason-street/default.aspx
USF partnership: https://www.foundstudy.com/usfca</t>
  </si>
  <si>
    <t xml:space="preserve">$700–1,900/bed all-in, 4/5/9/12-month terms, group contracts. Also in Notion tracker (shared from $850). | Purpose-built student residence with flexible Aug/Sept move-ins and existing institutional partnerships (USF). Interiors far nicer than any SRO; the block outside is still Tenderloin-edge.</t>
  </si>
  <si>
    <t xml:space="preserve">Presidio Residences — national-park living at target price</t>
  </si>
  <si>
    <t xml:space="preserve">Presidio, SF (24 neighborhoods, 1,100+ units)</t>
  </si>
  <si>
    <t xml:space="preserve">Presidio</t>
  </si>
  <si>
    <t xml:space="preserve">At target for quality far beyond it</t>
  </si>
  <si>
    <t xml:space="preserve">Interest-form queue; slow at scale</t>
  </si>
  <si>
    <t xml:space="preserve">Main / West office</t>
  </si>
  <si>
    <t xml:space="preserve">(844) 808-6177 · (844) 729-8087</t>
  </si>
  <si>
    <t xml:space="preserve">leasing@presidio-residences.com</t>
  </si>
  <si>
    <t xml:space="preserve">Rate sheet (PDF): https://resource.rentcafe.com/image/upload/s3/2/15652/rental_rate_sheet.pdf
presidio.gov leasing: https://www.presidio.gov/presidio-residences-leasing/</t>
  </si>
  <si>
    <t xml:space="preserve">Exceptional setting at exactly the number. Blockers: queue + Presidio-employee priority + you'd need 10–15 homes. Realistic for 15–25 people over time — a satellite, not the main campus.</t>
  </si>
  <si>
    <t xml:space="preserve">17th &amp; Broadway — Class A 2BR block</t>
  </si>
  <si>
    <t xml:space="preserve">447 17th St, Uptown Oakland</t>
  </si>
  <si>
    <t xml:space="preserve">~$1,750–1,900/bed with negotiated concessions</t>
  </si>
  <si>
    <t xml:space="preserve">Corporate block (already on SilverDoor)</t>
  </si>
  <si>
    <t xml:space="preserve">Leasing</t>
  </si>
  <si>
    <t xml:space="preserve">(510) 621-6522</t>
  </si>
  <si>
    <t xml:space="preserve">17thandbroadway.com</t>
  </si>
  <si>
    <t xml:space="preserve">Apartments.com: https://www.apartments.com/17th-and-broadway-oakland-ca/f6jbmws/
SilverDoor: https://www.silverdoor.com/17th-broadway-oakland-25793</t>
  </si>
  <si>
    <t xml:space="preserve">Pool, 34th-floor open-air lounge, furnished options; already sells through corporate-housing channels, so a 20–25 unit block is a familiar ask.</t>
  </si>
  <si>
    <t xml:space="preserve">Atlas Oakland — 3-per-2BR math works</t>
  </si>
  <si>
    <t xml:space="preserve">385 14th St, Downtown Oakland</t>
  </si>
  <si>
    <t xml:space="preserve">$1,447/bed at 3 sleepers per 2BR (den/living conversion)</t>
  </si>
  <si>
    <t xml:space="preserve">Call for block pricing ($500 look-and-lease running)</t>
  </si>
  <si>
    <t xml:space="preserve">(510) 983-5478</t>
  </si>
  <si>
    <t xml:space="preserve">atlasoakland.com</t>
  </si>
  <si>
    <t xml:space="preserve">atlasoakland.com: https://www.atlasoakland.com/floorplans</t>
  </si>
  <si>
    <t xml:space="preserve">Oakland's tallest residential tower with lease-up pressure. Same submarket economics as 1900 Broadway — play them against each other.</t>
  </si>
  <si>
    <t xml:space="preserve">The Commodore — ambiguous, verify by phone</t>
  </si>
  <si>
    <t xml:space="preserve">825 Sutter St, Lower Nob Hill, SF</t>
  </si>
  <si>
    <t xml:space="preserve">Sold Oct 2025 for $13M; Yelp shows CLOSED; also listed as apartments</t>
  </si>
  <si>
    <t xml:space="preserve">Title pull + call — possible whole-building lease</t>
  </si>
  <si>
    <t xml:space="preserve">SF Assessor-Recorder deed pull (Oct 2025) or ask the M&amp;M team above</t>
  </si>
  <si>
    <t xml:space="preserve">Yelp: https://www.yelp.com/biz/hotel-commodore-san-francisco
ApartmentRatings: https://www.apartmentratings.com/ca/san-francisco/the-commodore_9199332346275178284/</t>
  </si>
  <si>
    <t xml:space="preserve">Verified: still CLOSED, buyer never publicly named — pull the Oct 2025 grant deed at the SF Assessor-Recorder to find the LLC, or ask Marcus &amp; Millichap (they market AAU's remaining portfolio and likely know the buyer). Vacant + recently traded at ~$115k/key = strong master-lease candidate once the owner is found.</t>
  </si>
  <si>
    <t xml:space="preserve">Downtown Berkeley YMCA Hotel &amp; Residence</t>
  </si>
  <si>
    <t xml:space="preserve">2001 Allston Way, Berkeley (1 block from BART)</t>
  </si>
  <si>
    <t xml:space="preserve">$45–67/night rack ≈ $1,350–2,000/mo — block deal should land $1,200–1,400</t>
  </si>
  <si>
    <t xml:space="preserve">Negotiate 40–60 room block with YMCA of the East Bay</t>
  </si>
  <si>
    <t xml:space="preserve">Yelp: https://www.yelp.com/biz/berkeley-ymca-hotel-berkeley
ymca.org: https://www.ymca.org/locations/downtown-berkeley-branch-ymca</t>
  </si>
  <si>
    <t xml:space="preserve">Still-operating budget residence with soft demand and a nonprofit owner. Gym membership included; walkable Berkeley + BART to SF. Pairs naturally with the Southside rooming-house cluster for a Berkeley split-campus.</t>
  </si>
  <si>
    <t xml:space="preserve">1515 Webster top floors — vacant ex-co-living space</t>
  </si>
  <si>
    <t xml:space="preserve">Julia Morgan YWCA building, Downtown Oakland</t>
  </si>
  <si>
    <t xml:space="preserve">Envision Academy bought Aug 2024 ($22.5M); teacher-housing plans stated but likely unfunded</t>
  </si>
  <si>
    <t xml:space="preserve">Pitch Envision Academy interim revenue on the residential floors</t>
  </si>
  <si>
    <t xml:space="preserve">SF YIMBY: https://sfyimby.com/2024/08/julia-morgan-designed-ywca-building-sells-for-22-5-million-downtown-oakland.html
Colliers: https://www.colliers.com/en/news/san-francisco-bay-area/colliers-brokers-sale-of-the-historic-julia-morgan-ywca-building-in-oakland</t>
  </si>
  <si>
    <t xml:space="preserve">A charter school owns a landmark with purpose-built co-living floors sitting empty. A master lease gives them revenue toward their own teacher-housing goal later — an easy mission-aligned pitch.</t>
  </si>
  <si>
    <t xml:space="preserve">150 Hegenberger Rd hotel</t>
  </si>
  <si>
    <t xml:space="preserve">150 Hegenberger Rd, Oakland</t>
  </si>
  <si>
    <t xml:space="preserve">Oakland Airport area</t>
  </si>
  <si>
    <t xml:space="preserve">On-market</t>
  </si>
  <si>
    <t xml:space="preserve">$8.1M (~$50–55k/key)</t>
  </si>
  <si>
    <t xml:space="preserve">Diligence all three; Hegenberger = most capacity per dollar on the board</t>
  </si>
  <si>
    <t xml:space="preserve">LoopNet Oakland hotels: https://www.loopnet.com/search/hotels/oakland-ca/for-sale/
LoopNet Oakland multifamily: https://www.loopnet.com/search/apartment-buildings/oakland-ca/for-sale/
LoopNet SF multifamily: https://www.loopnet.com/search/apartment-buildings/san-francisco-ca/for-sale/</t>
  </si>
  <si>
    <t xml:space="preserve">150 Hegenberger is airport-corridor (location tradeoff) but ~$53k/key for 150+ keys is Hyatt-foreclosure economics on an open listing. 392 11th St puts 80 units downtown at $87k/unit. Princess Apartments (Hyde St) is 44 units in the Tenderloin at a real cap rate.</t>
  </si>
  <si>
    <t xml:space="preserve">392 11th St, Oakland</t>
  </si>
  <si>
    <t xml:space="preserve">$6.95M ($87k/unit)</t>
  </si>
  <si>
    <t xml:space="preserve">149–161 Hyde St</t>
  </si>
  <si>
    <t xml:space="preserve">149–161 Hyde St, SF</t>
  </si>
  <si>
    <t xml:space="preserve">$7.5M (7.4% cap)</t>
  </si>
  <si>
    <t xml:space="preserve">Listing broker — see LoopNet (round-5 find)</t>
  </si>
  <si>
    <t xml:space="preserve">LoopNet 149-161 Hyde St</t>
  </si>
  <si>
    <t xml:space="preserve">Union Square Plaza Hotel</t>
  </si>
  <si>
    <t xml:space="preserve">418–432 Geary St, San Francisco</t>
  </si>
  <si>
    <t xml:space="preserve">Price on request (softness signal)</t>
  </si>
  <si>
    <t xml:space="preserve">Master lease + option</t>
  </si>
  <si>
    <t xml:space="preserve">Ryan Clark — KW Commercial</t>
  </si>
  <si>
    <t xml:space="preserve">(605) 228-6402 ⚠</t>
  </si>
  <si>
    <t xml:space="preserve">LoopNet/Crexi form</t>
  </si>
  <si>
    <t xml:space="preserve">Crexi listing: https://www.crexi.com/properties/2373414/california-union-square-plaza-hotel
LoopNet: https://www.loopnet.com/Listing/432-Geary-St-San-Francisco-CA/39664345/</t>
  </si>
  <si>
    <t xml:space="preserve">Whole cohort + staff in one operating hotel. Still renting rooms from $63/night — starved for occupancy; a guaranteed master lease is found money.</t>
  </si>
  <si>
    <t xml:space="preserve">Motel 6 Civic Center</t>
  </si>
  <si>
    <t xml:space="preserve">583–585 Eddy St, San Francisco</t>
  </si>
  <si>
    <t xml:space="preserve">Listed $8–9M (~$118–132k/key), 14.4% cap</t>
  </si>
  <si>
    <t xml:space="preserve">Lease + option pitch</t>
  </si>
  <si>
    <t xml:space="preserve">Richard Ehmer + Jeramie Hamilton — Ehmer Group</t>
  </si>
  <si>
    <t xml:space="preserve">(415) 225-5176 / (650) 454-5982</t>
  </si>
  <si>
    <t xml:space="preserve">LoopNet SF hotels: https://www.loopnet.com/search/hotels/san-francisco-ca/for-sale/
Showcase: https://www.showcase.com/ca/san-francisco/hotels/for-sale/</t>
  </si>
  <si>
    <t xml:space="preserve">Exact target size with 60+ headroom; a 14% cap listing = distress-signal pricing. 2–3 blocks from the Boston/Blue pair — could anchor a Tenderloin cluster at scale.</t>
  </si>
  <si>
    <t xml:space="preserve">1055–1069 Pine St — 80-unit ex-dorm</t>
  </si>
  <si>
    <t xml:space="preserve">Nob Hill, SF (part of AAU cluster)</t>
  </si>
  <si>
    <t xml:space="preserve">$20M ask</t>
  </si>
  <si>
    <t xml:space="preserve">Lease / seller-finance</t>
  </si>
  <si>
    <t xml:space="preserve">Marcus &amp; Millichap: Jim Wright · J.J. Taughinbaugh · Taylor Flynn · Yuri Sergunin</t>
  </si>
  <si>
    <t xml:space="preserve">(650) 391-1837 · (650) 391-1807 · (415) 963-3042 · (650) 391-1764 · SF office (415) 963-3000</t>
  </si>
  <si>
    <t xml:space="preserve">jim.wright@ / jj.taughinbaugh@ / taylor.flynn@ / yuri.sergunin@marcusmillichap.com</t>
  </si>
  <si>
    <t xml:space="preserve">LoopNet: https://www.loopnet.com/Listing/1055-Pine-St-San-Francisco-CA/38157856/
Crexi: https://www.crexi.com/properties/2305070/california-1055-1069-pine-st</t>
  </si>
  <si>
    <t xml:space="preserve">Marketed 'value-add,' historically student housing. Part of the AAU cluster play; also pairs with 1538 Polk.</t>
  </si>
  <si>
    <t xml:space="preserve">San Ramon assisted-living facility</t>
  </si>
  <si>
    <t xml:space="preserve">19251 San Ramon Valley Blvd, San Ramon</t>
  </si>
  <si>
    <t xml:space="preserve">San Ramon</t>
  </si>
  <si>
    <t xml:space="preserve">Listed $4.995M (~$69k/bed) — still unsold (leverage)</t>
  </si>
  <si>
    <t xml:space="preserve">Lease-with-option or lowball</t>
  </si>
  <si>
    <t xml:space="preserve">Ken Kho — Legacy Real Estate, Fremont</t>
  </si>
  <si>
    <t xml:space="preserve">(510) 396-5408 / office (510) 744-3500</t>
  </si>
  <si>
    <t xml:space="preserve">ken@kho.net</t>
  </si>
  <si>
    <t xml:space="preserve">CityFeet listings: https://www.cityfeet.com/cont/bay-area-ca/assisted-living-facilities-for-sale</t>
  </si>
  <si>
    <t xml:space="preserve">Most beds per dollar in the region; commercial kitchen + dining hall built in. Still on the market as of July 2026 — which is itself negotiating leverage. Broker: Ken Kho.</t>
  </si>
  <si>
    <t xml:space="preserve">Motel 6 Lombard St</t>
  </si>
  <si>
    <t xml:space="preserve">2230 Lombard St, SF (Marina)</t>
  </si>
  <si>
    <t xml:space="preserve">Marina</t>
  </si>
  <si>
    <t xml:space="preserve">Listed $6.5–7M (~$225k/key)</t>
  </si>
  <si>
    <t xml:space="preserve">Lease pitch (needs pairing)</t>
  </si>
  <si>
    <t xml:space="preserve">Taylor Flynn — Marcus &amp; Millichap</t>
  </si>
  <si>
    <t xml:space="preserve">(415) 963-3042</t>
  </si>
  <si>
    <t xml:space="preserve">taylor.flynn@marcusmillichap.com</t>
  </si>
  <si>
    <t xml:space="preserve">LoopNet SF motels: https://www.loopnet.com/search/listings/motels/san-francisco-ca/for-sale/</t>
  </si>
  <si>
    <t xml:space="preserve">Best neighborhood of the motel options; pair with a second building. Note: Lombard motel row shows no distress — pricing power is against you here.</t>
  </si>
  <si>
    <t xml:space="preserve">The Land Wellness &amp; Eco-Retreat</t>
  </si>
  <si>
    <t xml:space="preserve">18501 Van Zandt Resort Rd, Philo (Mendocino Co.)</t>
  </si>
  <si>
    <t xml:space="preserve">Philo (Mendocino)</t>
  </si>
  <si>
    <t xml:space="preserve">Remote</t>
  </si>
  <si>
    <t xml:space="preserve">Listed $12M</t>
  </si>
  <si>
    <t xml:space="preserve">Lease pitch — remote campus only</t>
  </si>
  <si>
    <t xml:space="preserve">Tim Allen — Coldwell Banker Carmel</t>
  </si>
  <si>
    <t xml:space="preserve">(831) 214-1990</t>
  </si>
  <si>
    <t xml:space="preserve">tim@timallenproperties.com</t>
  </si>
  <si>
    <t xml:space="preserve">FindTheDivine listings: https://findthedivine.com/retreats-online/listing-category/retreat-centers-sale/</t>
  </si>
  <si>
    <t xml:space="preserve">Fully solves capacity + events, but 2.5 hrs out. Closer alternative now on the board: Santa Sabina (San Rafael).</t>
  </si>
  <si>
    <t xml:space="preserve">Holy Names University dorms</t>
  </si>
  <si>
    <t xml:space="preserve">3500 Mountain Blvd, Oakland hills</t>
  </si>
  <si>
    <t xml:space="preserve">Oakland Hills</t>
  </si>
  <si>
    <t xml:space="preserve">Pitch: interim 2–4 yr master lease</t>
  </si>
  <si>
    <t xml:space="preserve">BH Properties runs an interim-leasing site</t>
  </si>
  <si>
    <t xml:space="preserve">Dan Cardenas / Luis Guerra — BH Properties</t>
  </si>
  <si>
    <t xml:space="preserve">341-236-7757 / 602-899-5635</t>
  </si>
  <si>
    <t xml:space="preserve">daniel.cardenas@bhproperties.com · luis.guerra@bhproperties.com</t>
  </si>
  <si>
    <t xml:space="preserve">SF YIMBY: https://sfyimby.com/2026/02/permits-filed-for-holy-names-university-campus-redevelopment-oakland.html
theoaklandcampus.com: https://theoaklandcampus.com/
BH Properties: https://www.bhproperties.com/bh-properties-purchases-60-acre-oakland-hills-campus-of-holy-names-university</t>
  </si>
  <si>
    <t xml:space="preserve">Verified: BH's interim-leasing site advertises the 181,200 sf Upper Campus Complex (contains the residence halls) plus dining, gym, theatre — and one building is already 'reserved,' so interim deals are getting done. Contacts: Dan Cardenas 341-236-7757, daniel.cardenas@bhproperties.com · Luis Guerra 602-899-5635. Downside: hillside, car-dependent.</t>
  </si>
  <si>
    <t xml:space="preserve">Kenmore Residence Club</t>
  </si>
  <si>
    <t xml:space="preserve">1570 Sutter St, Lower Nob Hill, SF</t>
  </si>
  <si>
    <t xml:space="preserve">bridge-sept;femme-house</t>
  </si>
  <si>
    <t xml:space="preserve">~$75/night w/ meals (~$1,800/mo)</t>
  </si>
  <si>
    <t xml:space="preserve">(415) 776-5815</t>
  </si>
  <si>
    <t xml:space="preserve">office@kenmorehotelsf.com</t>
  </si>
  <si>
    <t xml:space="preserve">Kenmore: http://www.kenmorehotelsf.com/
Monroe: http://www.monroeresidenceclub.com/</t>
  </si>
  <si>
    <t xml:space="preserve">Operating boarding houses — private rooms, shared baths, meals included. The meals-included master-lease target.</t>
  </si>
  <si>
    <t xml:space="preserve">Monroe Residence Club</t>
  </si>
  <si>
    <t xml:space="preserve">1870 Sacramento St, Nob Hill, SF</t>
  </si>
  <si>
    <t xml:space="preserve">Verify (incl. meals) ~$1,600/mo</t>
  </si>
  <si>
    <t xml:space="preserve">(415) 474-6200</t>
  </si>
  <si>
    <t xml:space="preserve">reservations@monroeresidenceclub.com</t>
  </si>
  <si>
    <t xml:space="preserve">East Bay foreclosure hotels — new owners</t>
  </si>
  <si>
    <t xml:space="preserve">Hyatt House Pleasanton / Pleasant Hill / Hyatt Place Newark</t>
  </si>
  <si>
    <t xml:space="preserve">Pleasanton / Pleasant Hill / Newark</t>
  </si>
  <si>
    <t xml:space="preserve">New owners paid $6k–27k/key</t>
  </si>
  <si>
    <t xml:space="preserve">Master-lease pitch to foreclosure buyers</t>
  </si>
  <si>
    <t xml:space="preserve">TRD, May 2026: https://therealdeal.com/san-francisco/2026/05/08/another-east-bay-hotel-sells-after-foreclosure/
TRD, Apr 2026: https://therealdeal.com/san-francisco/2026/04/02/hyatt-house-hotels-in-east-bay-sell-at-foreclosure/</t>
  </si>
  <si>
    <t xml:space="preserve">Buyers at these bases can profitably lease 40–60 extended-stay suites well inside budget. Tri-Valley location is the tradeoff.</t>
  </si>
  <si>
    <t xml:space="preserve">Sonder leaseholds · Oakland surplus · CCA wind-down</t>
  </si>
  <si>
    <t xml:space="preserve">Various</t>
  </si>
  <si>
    <t xml:space="preserve">other</t>
  </si>
  <si>
    <t xml:space="preserve">Assume a lease / negotiate</t>
  </si>
  <si>
    <t xml:space="preserve">Three cheap calls</t>
  </si>
  <si>
    <t xml:space="preserve">Hotel Dive — Sonder: https://www.hoteldive.com/news/sonder-properties-available-leasehold-interest-after-bankruptcy/808243/
Oakland surplus: https://www.oaklandca.gov/Business/Oakland-Economic-Development/City-Property/City-Property-for-Sale-or-Lease
KQED — CCA: https://www.kqed.org/arts/13985359/california-college-of-the-arts-closing-vanderbilt-university</t>
  </si>
  <si>
    <t xml:space="preserve">Gordon Brothers — Sonder leasehold assumptions, furnished buildings. | Sonder's bankruptcy leaseholds are turnkey furnished. Oakland lists surplus city property. CCA (closing, Vanderbilt buying) has ~750 beds vs ~484 remaining students — a bridge-year block lease of surplus beds is a real conversation.</t>
  </si>
  <si>
    <t xml:space="preserve">20mish</t>
  </si>
  <si>
    <t xml:space="preserve">Mission District, SF</t>
  </si>
  <si>
    <t xml:space="preserve">$1,625/room all-in ≈ $65k/mo</t>
  </si>
  <si>
    <t xml:space="preserve">Bridge or long-term takeover</t>
  </si>
  <si>
    <t xml:space="preserve">Resident manager Stephanie</t>
  </si>
  <si>
    <t xml:space="preserve">Interest form: forms.gle/5tP3NrDf7ZgKzRtm7 · Discord via 20mish.com</t>
  </si>
  <si>
    <t xml:space="preserve">20mish.com: https://20mish.com/</t>
  </si>
  <si>
    <t xml:space="preserve">Exactly 40 rooms in a single building, operating since 2012. 12-month minimum works if the incubator holds the master term.</t>
  </si>
  <si>
    <t xml:space="preserve">Brownstone Shared Housing</t>
  </si>
  <si>
    <t xml:space="preserve">1049 Market St + 12 Mint Plaza, SF</t>
  </si>
  <si>
    <t xml:space="preserve">$700–1,200/pod ≈ $28–60k/mo</t>
  </si>
  <si>
    <t xml:space="preserve">Bridge — cheapest</t>
  </si>
  <si>
    <t xml:space="preserve">James Stallworth</t>
  </si>
  <si>
    <t xml:space="preserve">(650) 470-9278</t>
  </si>
  <si>
    <t xml:space="preserve">hey@brownstone.live</t>
  </si>
  <si>
    <t xml:space="preserve">ABC7: https://abc7news.com/post/sf-sleeping-pods-brownstone-shared-housing-san-francisco-mint-plaza-market-street/18251283/
KQED: https://www.kqed.org/news/12080289/700-a-month-sleeping-pods-make-sf-more-affordable-but-at-what-cost</t>
  </si>
  <si>
    <t xml:space="preserve">Pods, not rooms. Density trade-off. | Cheapest possible block, now permitted, timing matches September. Pods, not rooms.</t>
  </si>
  <si>
    <t xml:space="preserve">Urbanests — partnership angle</t>
  </si>
  <si>
    <t xml:space="preserve">1412 Market (ex-Inn at Market) + SoMa buildings</t>
  </si>
  <si>
    <t xml:space="preserve">SoMa</t>
  </si>
  <si>
    <t xml:space="preserve">$595–1,095/bed; 'tech dorm' rooms $1,000</t>
  </si>
  <si>
    <t xml:space="preserve">Block or partnership/sublease inquiry</t>
  </si>
  <si>
    <t xml:space="preserve">Reservations/partnerships</t>
  </si>
  <si>
    <t xml:space="preserve">(415) 949-0067</t>
  </si>
  <si>
    <t xml:space="preserve">reservations@urbanests.com</t>
  </si>
  <si>
    <t xml:space="preserve">TRD — co-living bounce-back: https://therealdeal.com/san-francisco/2025/04/01/co-living-biz-bounces-back-with-ai-boom-in-sf/
Urbanests: https://www.urbanests.com/post/the-new-hacker-houses-why-co-living-is-the-secret-engine-of-san-francisco-s-ai-boom</t>
  </si>
  <si>
    <t xml:space="preserve">Competitor watch: UrbaNests handed back ~560 SoMa rooms — trace those landlords. | They converted the Inn at Market into an AI hacker house and have master-leased buildings before — could be a partner that runs a building FOR the program, not just a landlord.</t>
  </si>
  <si>
    <t xml:space="preserve">Foundry Coliving (4 houses)</t>
  </si>
  <si>
    <t xml:space="preserve">550 Guerrero St + 3 SF houses</t>
  </si>
  <si>
    <t xml:space="preserve">bridge-sept</t>
  </si>
  <si>
    <t xml:space="preserve">$1,990–2,190/room rack</t>
  </si>
  <si>
    <t xml:space="preserve">Portfolio takeover / block</t>
  </si>
  <si>
    <t xml:space="preserve">(415) 610-2405</t>
  </si>
  <si>
    <t xml:space="preserve">support@foundry.today</t>
  </si>
  <si>
    <t xml:space="preserve">Foundry: https://foundry.today/
Hive: https://www.hivecolivingsf.com/rooms-privates</t>
  </si>
  <si>
    <t xml:space="preserve">Foundry's whole portfolio ≈ one cohort (negotiate a discount). Hive's 4-month leases match 3-month cohorts.</t>
  </si>
  <si>
    <t xml:space="preserve">Hive Coliving (was Tribe)</t>
  </si>
  <si>
    <t xml:space="preserve">1040 Folsom St, SoMa, SF</t>
  </si>
  <si>
    <t xml:space="preserve">Triples $475–600, privates $1,275–1,400 + $150 util</t>
  </si>
  <si>
    <t xml:space="preserve">(845) 304-8555</t>
  </si>
  <si>
    <t xml:space="preserve">hivecolivingsf.com</t>
  </si>
  <si>
    <t xml:space="preserve">BASELINE — Fitzgerald co-living floors (current deal)</t>
  </si>
  <si>
    <t xml:space="preserve">620 Post St, Nob Hill/Union Sq, SF</t>
  </si>
  <si>
    <t xml:space="preserve">Baseline</t>
  </si>
  <si>
    <t xml:space="preserve">Singles from $1,595/mo</t>
  </si>
  <si>
    <t xml:space="preserve">Current deal — every row is compared to this</t>
  </si>
  <si>
    <t xml:space="preserve">Move-in Sept 27. Common room has mini-fridge + sink; confirm full kitchen.</t>
  </si>
  <si>
    <t xml:space="preserve">BASELINE — Fitzgerald Hotel nightly side</t>
  </si>
  <si>
    <t xml:space="preserve">620 Post St, SF</t>
  </si>
  <si>
    <t xml:space="preserve">~$110–140/night (~$3,300/mo)</t>
  </si>
  <si>
    <t xml:space="preserve">The hotel-swap setup we are leaving</t>
  </si>
  <si>
    <t xml:space="preserve">No kitchen (mini-fridge/microwave only). 30-day room swaps = 14% TOT paid and no tenancy.</t>
  </si>
  <si>
    <t xml:space="preserve">Address / area</t>
  </si>
  <si>
    <t xml:space="preserve">Walk min to Frontier</t>
  </si>
  <si>
    <t xml:space="preserve">Type (norm.)</t>
  </si>
  <si>
    <t xml:space="preserve">Type (as tracked)</t>
  </si>
  <si>
    <t xml:space="preserve">Capacity (as tracked)</t>
  </si>
  <si>
    <t xml:space="preserve">Price as listed</t>
  </si>
  <si>
    <t xml:space="preserve">$/bed est (sort)</t>
  </si>
  <si>
    <t xml:space="preserve">Kitchen (norm.)</t>
  </si>
  <si>
    <t xml:space="preserve">Kitchen (as tracked)</t>
  </si>
  <si>
    <t xml:space="preserve">Notion round</t>
  </si>
  <si>
    <t xml:space="preserve">Contacted by</t>
  </si>
  <si>
    <t xml:space="preserve">Soma House</t>
  </si>
  <si>
    <t xml:space="preserve">121 7th St, SoMa</t>
  </si>
  <si>
    <t xml:space="preserve">Notion tracker</t>
  </si>
  <si>
    <t xml:space="preserve">Student housing</t>
  </si>
  <si>
    <t xml:space="preserve">Verify</t>
  </si>
  <si>
    <t xml:space="preserve">Yes</t>
  </si>
  <si>
    <t xml:space="preserve">contacted</t>
  </si>
  <si>
    <t xml:space="preserve">Alex</t>
  </si>
  <si>
    <t xml:space="preserve">Aug 2026 (Notion)</t>
  </si>
  <si>
    <t xml:space="preserve">Panoramic Residences</t>
  </si>
  <si>
    <t xml:space="preserve">1321 Mission St (9th &amp; Mission), SoMa</t>
  </si>
  <si>
    <t xml:space="preserve">Co-living (micro-units)</t>
  </si>
  <si>
    <t xml:space="preserve">160 units</t>
  </si>
  <si>
    <t xml:space="preserve">shared kitchen, in micro unit</t>
  </si>
  <si>
    <t xml:space="preserve">City Gardens Apartments</t>
  </si>
  <si>
    <t xml:space="preserve">333 12th St, SoMa</t>
  </si>
  <si>
    <t xml:space="preserve">Apartments</t>
  </si>
  <si>
    <t xml:space="preserve">200 units</t>
  </si>
  <si>
    <t xml:space="preserve">Verify (market-rate $2,000+ studio)</t>
  </si>
  <si>
    <t xml:space="preserve">TL Residences</t>
  </si>
  <si>
    <t xml:space="preserve">361 Turk St, Tenderloin</t>
  </si>
  <si>
    <t xml:space="preserve">Tenderloin</t>
  </si>
  <si>
    <t xml:space="preserve">240 units</t>
  </si>
  <si>
    <t xml:space="preserve">1040 Folsom St, SoMa</t>
  </si>
  <si>
    <t xml:space="preserve">Co-living</t>
  </si>
  <si>
    <t xml:space="preserve">Shared + private</t>
  </si>
  <si>
    <t xml:space="preserve">Found Study (Nob Hill)</t>
  </si>
  <si>
    <t xml:space="preserve">Housing</t>
  </si>
  <si>
    <t xml:space="preserve">50+</t>
  </si>
  <si>
    <t xml:space="preserve">European Hostel</t>
  </si>
  <si>
    <t xml:space="preserve">hostel</t>
  </si>
  <si>
    <t xml:space="preserve">Hostel / co-living</t>
  </si>
  <si>
    <t xml:space="preserve">25 rooms (4–6p shared)</t>
  </si>
  <si>
    <t xml:space="preserve">$545/mo per bed</t>
  </si>
  <si>
    <t xml:space="preserve">FOUND Study 16 Turk St</t>
  </si>
  <si>
    <t xml:space="preserve">16 Turk St, Mid-Market</t>
  </si>
  <si>
    <t xml:space="preserve">Mid-Market</t>
  </si>
  <si>
    <t xml:space="preserve">Student co-living</t>
  </si>
  <si>
    <t xml:space="preserve">Multi-floor</t>
  </si>
  <si>
    <t xml:space="preserve">Shared from $850; private $1,650+</t>
  </si>
  <si>
    <t xml:space="preserve">HI San Francisco Downtown</t>
  </si>
  <si>
    <t xml:space="preserve">312 Mason St</t>
  </si>
  <si>
    <t xml:space="preserve">Hostel</t>
  </si>
  <si>
    <t xml:space="preserve">Large; dorms + private</t>
  </si>
  <si>
    <t xml:space="preserve">Dorm from $31.50/night</t>
  </si>
  <si>
    <t xml:space="preserve">UpMarket Residences</t>
  </si>
  <si>
    <t xml:space="preserve">221 7th St</t>
  </si>
  <si>
    <t xml:space="preserve">110 rooms</t>
  </si>
  <si>
    <t xml:space="preserve">$995/mo (20% off)</t>
  </si>
  <si>
    <t xml:space="preserve">Orange Village Hostel</t>
  </si>
  <si>
    <t xml:space="preserve">Central SF (nr Union Sq)</t>
  </si>
  <si>
    <t xml:space="preserve">Private + 4p dorms</t>
  </si>
  <si>
    <t xml:space="preserve">Ask, not clear</t>
  </si>
  <si>
    <t xml:space="preserve">USA Hostels SF</t>
  </si>
  <si>
    <t xml:space="preserve">411 O'Farrell St</t>
  </si>
  <si>
    <t xml:space="preserve">Dorms + private</t>
  </si>
  <si>
    <t xml:space="preserve">$30–40/night</t>
  </si>
  <si>
    <t xml:space="preserve">Adelaide Hostel</t>
  </si>
  <si>
    <t xml:space="preserve">Isadora Duncan Ln (Taylor/Post)</t>
  </si>
  <si>
    <t xml:space="preserve">221 7th Street Residences</t>
  </si>
  <si>
    <t xml:space="preserve">221 7th St, SoMa</t>
  </si>
  <si>
    <t xml:space="preserve">22 rooms</t>
  </si>
  <si>
    <t xml:space="preserve">$1,195/mo (10% off)</t>
  </si>
  <si>
    <t xml:space="preserve">251 9th Street Residences</t>
  </si>
  <si>
    <t xml:space="preserve">251 9th St, SoMa</t>
  </si>
  <si>
    <t xml:space="preserve">Hotel Epik Residences</t>
  </si>
  <si>
    <t xml:space="preserve">706 Polk St</t>
  </si>
  <si>
    <t xml:space="preserve">18 rooms</t>
  </si>
  <si>
    <t xml:space="preserve">$1,200/mo (23% off)</t>
  </si>
  <si>
    <t xml:space="preserve">The Bartlett Residences</t>
  </si>
  <si>
    <t xml:space="preserve">10 rooms</t>
  </si>
  <si>
    <t xml:space="preserve">$1,295/mo</t>
  </si>
  <si>
    <t xml:space="preserve">The Herbert Residences</t>
  </si>
  <si>
    <t xml:space="preserve">Union Square (~161 Powell St)</t>
  </si>
  <si>
    <t xml:space="preserve">12 rooms</t>
  </si>
  <si>
    <t xml:space="preserve">1214 Polk Street Residences</t>
  </si>
  <si>
    <t xml:space="preserve">1214 Polk St, Nob Hill</t>
  </si>
  <si>
    <t xml:space="preserve">30 rooms</t>
  </si>
  <si>
    <t xml:space="preserve">$1,395/mo (21% off for groups)</t>
  </si>
  <si>
    <t xml:space="preserve">Sweden House</t>
  </si>
  <si>
    <t xml:space="preserve">35 rooms</t>
  </si>
  <si>
    <t xml:space="preserve">$1,395/mo</t>
  </si>
  <si>
    <t xml:space="preserve">620 Post St Residences (Fitzgerald co-living) — CURRENT</t>
  </si>
  <si>
    <t xml:space="preserve">620 Post St, Nob Hill/Union Sq</t>
  </si>
  <si>
    <t xml:space="preserve">Nob Hill/Union Sq</t>
  </si>
  <si>
    <t xml:space="preserve">~20 bedrooms</t>
  </si>
  <si>
    <t xml:space="preserve">Common room has mini-fridge+sink (confirm full kitchen)</t>
  </si>
  <si>
    <t xml:space="preserve">Hive Coliving (bunks)</t>
  </si>
  <si>
    <t xml:space="preserve">SF (verify block)</t>
  </si>
  <si>
    <t xml:space="preserve">Bunks</t>
  </si>
  <si>
    <t xml:space="preserve">Bunk from ~$900</t>
  </si>
  <si>
    <t xml:space="preserve">Green Tortoise Hostel</t>
  </si>
  <si>
    <t xml:space="preserve">494 Broadway, North Beach</t>
  </si>
  <si>
    <t xml:space="preserve">North Beach</t>
  </si>
  <si>
    <t xml:space="preserve">Budget</t>
  </si>
  <si>
    <t xml:space="preserve">371 Columbus Residences</t>
  </si>
  <si>
    <t xml:space="preserve">34 rooms</t>
  </si>
  <si>
    <t xml:space="preserve">524 Columbus Residences</t>
  </si>
  <si>
    <t xml:space="preserve">45 rooms</t>
  </si>
  <si>
    <t xml:space="preserve">556 Green St Residences</t>
  </si>
  <si>
    <t xml:space="preserve">$1,300/mo (13% off)</t>
  </si>
  <si>
    <t xml:space="preserve">Amsterdam Hostel</t>
  </si>
  <si>
    <t xml:space="preserve">749 Taylor St (Union Sq)</t>
  </si>
  <si>
    <t xml:space="preserve">From ~$19/night</t>
  </si>
  <si>
    <t xml:space="preserve">Samesun San Francisco</t>
  </si>
  <si>
    <t xml:space="preserve">North Beach (verify)</t>
  </si>
  <si>
    <t xml:space="preserve">From $32/night</t>
  </si>
  <si>
    <t xml:space="preserve">Bposhtels SF Union Square</t>
  </si>
  <si>
    <t xml:space="preserve">Union Square area (verify)</t>
  </si>
  <si>
    <t xml:space="preserve">From $33/night</t>
  </si>
  <si>
    <t xml:space="preserve">Yes (verify)</t>
  </si>
  <si>
    <t xml:space="preserve">ITH Pacific Tradewinds</t>
  </si>
  <si>
    <t xml:space="preserve">680 Sacramento St (Chinatown/FiDi)</t>
  </si>
  <si>
    <t xml:space="preserve">8-bed dorms</t>
  </si>
  <si>
    <t xml:space="preserve">From $39/night</t>
  </si>
  <si>
    <t xml:space="preserve">908 Coliving</t>
  </si>
  <si>
    <t xml:space="preserve">SF (verify)</t>
  </si>
  <si>
    <t xml:space="preserve">Rooms</t>
  </si>
  <si>
    <t xml:space="preserve">$1,700+</t>
  </si>
  <si>
    <t xml:space="preserve">HI Fisherman's Wharf Hostel</t>
  </si>
  <si>
    <t xml:space="preserve">Fort Mason</t>
  </si>
  <si>
    <t xml:space="preserve">2436 Mission Residences</t>
  </si>
  <si>
    <t xml:space="preserve">2436 Mission St</t>
  </si>
  <si>
    <t xml:space="preserve">8 rooms</t>
  </si>
  <si>
    <t xml:space="preserve">$1,195/mo</t>
  </si>
  <si>
    <t xml:space="preserve">The Perramont</t>
  </si>
  <si>
    <t xml:space="preserve">Castro</t>
  </si>
  <si>
    <t xml:space="preserve">Lovely North Beach / Chinatown Hotel</t>
  </si>
  <si>
    <t xml:space="preserve">Co-living / hotel</t>
  </si>
  <si>
    <t xml:space="preserve">20 rooms</t>
  </si>
  <si>
    <t xml:space="preserve">$1,600/mo</t>
  </si>
  <si>
    <t xml:space="preserve">Standard Union Square hotels (Adante, Powell, Union Sq Plaza, Ram's, etc.)</t>
  </si>
  <si>
    <t xml:space="preserve">Union Sq / SoMa</t>
  </si>
  <si>
    <t xml:space="preserve">Hotel</t>
  </si>
  <si>
    <t xml:space="preserve">Varies</t>
  </si>
  <si>
    <t xml:space="preserve">Nightly (high long-term)</t>
  </si>
  <si>
    <t xml:space="preserve">Mostly none</t>
  </si>
  <si>
    <t xml:space="preserve">Fitzgerald Hotel (nightly hotel side) — CURRENT</t>
  </si>
  <si>
    <t xml:space="preserve">620 Post St</t>
  </si>
  <si>
    <t xml:space="preserve">50 rooms</t>
  </si>
  <si>
    <t xml:space="preserve">~$110–140/night</t>
  </si>
  <si>
    <t xml:space="preserve">No (mini-fridge/microwave only)</t>
  </si>
  <si>
    <t xml:space="preserve">The Mission Hotel Apartments</t>
  </si>
  <si>
    <t xml:space="preserve">520 S Van Ness Ave, Mission</t>
  </si>
  <si>
    <t xml:space="preserve">SRO</t>
  </si>
  <si>
    <t xml:space="preserve">Large (largest SRO)</t>
  </si>
  <si>
    <t xml:space="preserve">Low</t>
  </si>
  <si>
    <t xml:space="preserve">Shared</t>
  </si>
  <si>
    <t xml:space="preserve">Harcourt Hotel (residence)</t>
  </si>
  <si>
    <t xml:space="preserve">1105 Larkin St, Nob Hill/TL</t>
  </si>
  <si>
    <t xml:space="preserve">Nob Hill/TL</t>
  </si>
  <si>
    <t xml:space="preserve">Residence hotel / SRO</t>
  </si>
  <si>
    <t xml:space="preserve">Many</t>
  </si>
  <si>
    <t xml:space="preserve">~$200–250/wk</t>
  </si>
  <si>
    <t xml:space="preserve">The 6th Collective Coliving</t>
  </si>
  <si>
    <t xml:space="preserve">Howard &amp; 6th St, SoMa</t>
  </si>
  <si>
    <t xml:space="preserve">$1,050</t>
  </si>
  <si>
    <t xml:space="preserve">Yes (commercial)</t>
  </si>
  <si>
    <t xml:space="preserve">The Annex at Hayes Valley</t>
  </si>
  <si>
    <t xml:space="preserve">420 Hayes St, Hayes Valley</t>
  </si>
  <si>
    <t xml:space="preserve">Hayes Valley</t>
  </si>
  <si>
    <t xml:space="preserve">Rooms; shared bath</t>
  </si>
  <si>
    <t xml:space="preserve">Yes (big kitchen)</t>
  </si>
  <si>
    <t xml:space="preserve">UrbaNests 1080 Folsom Residences</t>
  </si>
  <si>
    <t xml:space="preserve">1080 Folsom St, SoMa</t>
  </si>
  <si>
    <t xml:space="preserve">~$1,200 verify</t>
  </si>
  <si>
    <t xml:space="preserve">Chapter San Francisco</t>
  </si>
  <si>
    <t xml:space="preserve">1533 Franklin St, Cathedral Hill</t>
  </si>
  <si>
    <t xml:space="preserve">Cathedral Hill</t>
  </si>
  <si>
    <t xml:space="preserve">Co-living hostel</t>
  </si>
  <si>
    <t xml:space="preserve">Shared+private</t>
  </si>
  <si>
    <t xml:space="preserve">PodShare SF Marina</t>
  </si>
  <si>
    <t xml:space="preserve">2424 Lombard St, Marina</t>
  </si>
  <si>
    <t xml:space="preserve">Hostel / co-living pods</t>
  </si>
  <si>
    <t xml:space="preserve">Pods</t>
  </si>
  <si>
    <t xml:space="preserve">Per-bed</t>
  </si>
  <si>
    <t xml:space="preserve">20 Mission SF (20mish)</t>
  </si>
  <si>
    <t xml:space="preserve">3491 20th St, Mission</t>
  </si>
  <si>
    <t xml:space="preserve">Co-living / startup</t>
  </si>
  <si>
    <t xml:space="preserve">~40 rooms</t>
  </si>
  <si>
    <t xml:space="preserve">Blok Living Lower Haight</t>
  </si>
  <si>
    <t xml:space="preserve">565 Page St, Lower Haight</t>
  </si>
  <si>
    <t xml:space="preserve">Lower Haight</t>
  </si>
  <si>
    <t xml:space="preserve">Vantaggio Suites Garland</t>
  </si>
  <si>
    <t xml:space="preserve">505 O'Farrell St, Tenderloin</t>
  </si>
  <si>
    <t xml:space="preserve">Extended-stay suites</t>
  </si>
  <si>
    <t xml:space="preserve">7-night min; monthly avail</t>
  </si>
  <si>
    <t xml:space="preserve">Some (fridge/micro)</t>
  </si>
  <si>
    <t xml:space="preserve">Vantaggio Suites Abigail</t>
  </si>
  <si>
    <t xml:space="preserve">246 McAllister St, Civic Center</t>
  </si>
  <si>
    <t xml:space="preserve">Mission Control</t>
  </si>
  <si>
    <t xml:space="preserve">2211 Mission St, Mission</t>
  </si>
  <si>
    <t xml:space="preserve">Hacker house</t>
  </si>
  <si>
    <t xml:space="preserve">The Red Victorian</t>
  </si>
  <si>
    <t xml:space="preserve">1665 Haight St, Haight</t>
  </si>
  <si>
    <t xml:space="preserve">Haight</t>
  </si>
  <si>
    <t xml:space="preserve">Co-living / commune</t>
  </si>
  <si>
    <t xml:space="preserve">~18 rooms</t>
  </si>
  <si>
    <t xml:space="preserve">Foundry Coliving</t>
  </si>
  <si>
    <t xml:space="preserve">550 Guerrero St, Mission</t>
  </si>
  <si>
    <t xml:space="preserve">Founder co-living</t>
  </si>
  <si>
    <t xml:space="preserve">~15–20</t>
  </si>
  <si>
    <t xml:space="preserve">Mission Dolores Manor</t>
  </si>
  <si>
    <t xml:space="preserve">822 S Van Ness Ave, Mission</t>
  </si>
  <si>
    <t xml:space="preserve">Vybe Living (operator)</t>
  </si>
  <si>
    <t xml:space="preserve">SoMa / TL / Mission rooms</t>
  </si>
  <si>
    <t xml:space="preserve">Co-living operator</t>
  </si>
  <si>
    <t xml:space="preserve">Many rooms</t>
  </si>
  <si>
    <t xml:space="preserve">$1,200–1,800</t>
  </si>
  <si>
    <t xml:space="preserve">1870 Sacramento St, Nob Hill</t>
  </si>
  <si>
    <t xml:space="preserve">Residence club (meals)</t>
  </si>
  <si>
    <t xml:space="preserve">Verify (incl. meals)</t>
  </si>
  <si>
    <t xml:space="preserve">Meals incl.</t>
  </si>
  <si>
    <t xml:space="preserve">Neighbourgood Mission</t>
  </si>
  <si>
    <t xml:space="preserve">2072 Mission St, Mission</t>
  </si>
  <si>
    <t xml:space="preserve">Co-living / aparthotel</t>
  </si>
  <si>
    <t xml:space="preserve">Globe Hotel SoMa</t>
  </si>
  <si>
    <t xml:space="preserve">10 Hallam St, SoMa</t>
  </si>
  <si>
    <t xml:space="preserve">Budget hotel</t>
  </si>
  <si>
    <t xml:space="preserve">Small</t>
  </si>
  <si>
    <t xml:space="preserve">Nightly; ask monthly</t>
  </si>
  <si>
    <t xml:space="preserve">No (breakfast incl.)</t>
  </si>
  <si>
    <t xml:space="preserve">Kenmore Residence Hotel</t>
  </si>
  <si>
    <t xml:space="preserve">1570 Sutter St, Lower Nob Hill</t>
  </si>
  <si>
    <t xml:space="preserve">Lower Nob Hill</t>
  </si>
  <si>
    <t xml:space="preserve">Residence hotel (meals)</t>
  </si>
  <si>
    <t xml:space="preserve">~$75/night w/ meals</t>
  </si>
  <si>
    <t xml:space="preserve">The Mosser Hotel</t>
  </si>
  <si>
    <t xml:space="preserve">54 4th St, SoMa</t>
  </si>
  <si>
    <t xml:space="preserve">Large; shared+private</t>
  </si>
  <si>
    <t xml:space="preserve">Shared (limited)</t>
  </si>
  <si>
    <t xml:space="preserve">Larkspur Landing Extended Stay</t>
  </si>
  <si>
    <t xml:space="preserve">690 Gateway Blvd, South SF</t>
  </si>
  <si>
    <t xml:space="preserve">South SF</t>
  </si>
  <si>
    <t xml:space="preserve">Many suites</t>
  </si>
  <si>
    <t xml:space="preserve">Nightly; weekly disc.</t>
  </si>
  <si>
    <t xml:space="preserve">Yes (full kitchen)</t>
  </si>
  <si>
    <t xml:space="preserve">SOMA Residences</t>
  </si>
  <si>
    <t xml:space="preserve">1045 Mission St, SoMa</t>
  </si>
  <si>
    <t xml:space="preserve">Apartments (market)</t>
  </si>
  <si>
    <t xml:space="preserve">93 units</t>
  </si>
  <si>
    <t xml:space="preserve">Verify ($2k+ studio)</t>
  </si>
  <si>
    <t xml:space="preserve">Yes (in-unit)</t>
  </si>
  <si>
    <t xml:space="preserve">Hotel Fiona</t>
  </si>
  <si>
    <t xml:space="preserve">140 7th St, SoMa</t>
  </si>
  <si>
    <t xml:space="preserve">Boutique hotel</t>
  </si>
  <si>
    <t xml:space="preserve">~50 rooms</t>
  </si>
  <si>
    <t xml:space="preserve">Furnished Quarters SF</t>
  </si>
  <si>
    <t xml:space="preserve">1162 Folsom St, SoMa</t>
  </si>
  <si>
    <t xml:space="preserve">Furnished corp apts</t>
  </si>
  <si>
    <t xml:space="preserve">Verify (corporate)</t>
  </si>
  <si>
    <t xml:space="preserve">Villa Nob Hill Furnished Apts</t>
  </si>
  <si>
    <t xml:space="preserve">1124 Leavenworth St, Nob Hill</t>
  </si>
  <si>
    <t xml:space="preserve">Furnished apartments</t>
  </si>
  <si>
    <t xml:space="preserve">Several 2BR</t>
  </si>
  <si>
    <t xml:space="preserve">Verify (per apt)</t>
  </si>
  <si>
    <t xml:space="preserve">Prism</t>
  </si>
  <si>
    <t xml:space="preserve">1028 Market St, Mid-Market</t>
  </si>
  <si>
    <t xml:space="preserve">90+ units</t>
  </si>
  <si>
    <t xml:space="preserve">Nob Hill Place</t>
  </si>
  <si>
    <t xml:space="preserve">1155 Jones St, Nob Hill</t>
  </si>
  <si>
    <t xml:space="preserve">Verify (market)</t>
  </si>
  <si>
    <t xml:space="preserve">Nob Hill Tower</t>
  </si>
  <si>
    <t xml:space="preserve">1221 Jones St, Nob Hill</t>
  </si>
  <si>
    <t xml:space="preserve">41+ units</t>
  </si>
  <si>
    <t xml:space="preserve">VELA Marina</t>
  </si>
  <si>
    <t xml:space="preserve">2353 Lombard St, Marina</t>
  </si>
  <si>
    <t xml:space="preserve">O&amp;M Apartments</t>
  </si>
  <si>
    <t xml:space="preserve">680 Indiana St, Dogpatch</t>
  </si>
  <si>
    <t xml:space="preserve">Dogpatch</t>
  </si>
  <si>
    <t xml:space="preserve">38+ units</t>
  </si>
  <si>
    <t xml:space="preserve">Suites at Fisherman's Wharf</t>
  </si>
  <si>
    <t xml:space="preserve">2655 Hyde St, Fisherman's Wharf</t>
  </si>
  <si>
    <t xml:space="preserve">Fisherman's Wharf</t>
  </si>
  <si>
    <t xml:space="preserve">Suite hotel (full kitchen)</t>
  </si>
  <si>
    <t xml:space="preserve">Suites</t>
  </si>
  <si>
    <t xml:space="preserve">Windsor at Dogpatch</t>
  </si>
  <si>
    <t xml:space="preserve">2660 3rd St, Dogpatch</t>
  </si>
  <si>
    <t xml:space="preserve">125+ units</t>
  </si>
  <si>
    <t xml:space="preserve">The Pinnacle at Nob Hill</t>
  </si>
  <si>
    <t xml:space="preserve">899 Pine St, Nob Hill</t>
  </si>
  <si>
    <t xml:space="preserve">Apartments (upscale)</t>
  </si>
  <si>
    <t xml:space="preserve">61+ units</t>
  </si>
  <si>
    <t xml:space="preserve">Verify (market, high)</t>
  </si>
  <si>
    <t xml:space="preserve">Landing Furnished Apts</t>
  </si>
  <si>
    <t xml:space="preserve">215 2nd St, SoMa</t>
  </si>
  <si>
    <t xml:space="preserve">Many units</t>
  </si>
  <si>
    <t xml:space="preserve">Verify (membership)</t>
  </si>
  <si>
    <t xml:space="preserve">Brick + Iron Lofts</t>
  </si>
  <si>
    <t xml:space="preserve">2235 3rd St, Dogpatch</t>
  </si>
  <si>
    <t xml:space="preserve">Loft apartments</t>
  </si>
  <si>
    <t xml:space="preserve">Avalon Hayes Valley</t>
  </si>
  <si>
    <t xml:space="preserve">325 Octavia St, Hayes Valley</t>
  </si>
  <si>
    <t xml:space="preserve">218+ units</t>
  </si>
  <si>
    <t xml:space="preserve">Blueground Furnished Apts</t>
  </si>
  <si>
    <t xml:space="preserve">149 New Montgomery St, SoMa</t>
  </si>
  <si>
    <t xml:space="preserve">Verify (per unit, high)</t>
  </si>
  <si>
    <t xml:space="preserve">Avalon Dogpatch</t>
  </si>
  <si>
    <t xml:space="preserve">800 Indiana St, Dogpatch</t>
  </si>
  <si>
    <t xml:space="preserve">249+ units</t>
  </si>
  <si>
    <t xml:space="preserve">Verify (~$3–4k+)</t>
  </si>
  <si>
    <t xml:space="preserve">Hyatt Regency SF Downtown SoMa</t>
  </si>
  <si>
    <t xml:space="preserve">50 3rd St, SoMa</t>
  </si>
  <si>
    <t xml:space="preserve">Hotel (upscale)</t>
  </si>
  <si>
    <t xml:space="preserve">Large</t>
  </si>
  <si>
    <t xml:space="preserve">Nightly (high)</t>
  </si>
  <si>
    <t xml:space="preserve">No</t>
  </si>
  <si>
    <t xml:space="preserve">Section</t>
  </si>
  <si>
    <t xml:space="preserve">Property</t>
  </si>
  <si>
    <t xml:space="preserve">Verify first?</t>
  </si>
  <si>
    <t xml:space="preserve">**Crystal Hotel**, 2766 Mission St, SF (45 rooms, "Residential Master Lease available")</t>
  </si>
  <si>
    <t xml:space="preserve">**Hill Castle**, 1431 Jackson St, Oakland (~160 units, $43k/unit basis)</t>
  </si>
  <si>
    <t xml:space="preserve">**Moxy Oakland**, 2225 Telegraph (172 rooms, receivership)</t>
  </si>
  <si>
    <t xml:space="preserve">**Hotel Union Square**, 114–120 Powell St, SF (131 rooms, dark)</t>
  </si>
  <si>
    <t xml:space="preserve">⚠ yes</t>
  </si>
  <si>
    <t xml:space="preserve">**AAU dorm cluster** (736 Jones, 860 Sutter, 1080 Bush)</t>
  </si>
  <si>
    <t xml:space="preserve">**1055–1069 Pine St** ($20M ex-dorm) + AAU sale portfolio</t>
  </si>
  <si>
    <t xml:space="preserve">**Waterfront Hotel**, Jack London Square (145 keys, closed)</t>
  </si>
  <si>
    <t xml:space="preserve">**1900 Broadway / STAK**, Oakland (co-living block)</t>
  </si>
  <si>
    <t xml:space="preserve">Ora Apartments, 1815 Alice St, Oakland (74-unit REO)</t>
  </si>
  <si>
    <t xml:space="preserve">Moran + Telegraph Arts, Oakland (175 units, one servicer)</t>
  </si>
  <si>
    <t xml:space="preserve">Stanford Court, 905 California St (400 rooms, receiver)</t>
  </si>
  <si>
    <t xml:space="preserve">Courtyard Oakland, 988 Broadway</t>
  </si>
  <si>
    <t xml:space="preserve">Parkmerced (bulk units from receiver)</t>
  </si>
  <si>
    <t xml:space="preserve">Mosser SRO block, 1000 Market St</t>
  </si>
  <si>
    <t xml:space="preserve">Ferns Hotel, 415 15th St, Oakland (33 rooms, price-cut)</t>
  </si>
  <si>
    <t xml:space="preserve">Commodore, 825 Sutter St (closed, buyer unknown)</t>
  </si>
  <si>
    <t xml:space="preserve">Da Vinci Villa (taken by Minerva — ask re: remaining floors/term)</t>
  </si>
  <si>
    <t xml:space="preserve">Owner Nat Patel (also owns 50 Turk St)</t>
  </si>
  <si>
    <t xml:space="preserve">deed pull for LLC; approach via 50 Turk St management</t>
  </si>
  <si>
    <t xml:space="preserve">Holy Names campus, Oakland (dorm halls, interim lease)</t>
  </si>
  <si>
    <t xml:space="preserve">St. Anne's Home, 300 Lake St, SF (closed care campus)</t>
  </si>
  <si>
    <t xml:space="preserve">Santa Sabina Center, San Rafael (38BR convent)</t>
  </si>
  <si>
    <t xml:space="preserve">Alameda Point BEQ (barracks, as-is city leases)</t>
  </si>
  <si>
    <t xml:space="preserve">3700 California St campus (vacant ex-CPMC)</t>
  </si>
  <si>
    <t xml:space="preserve">SF Archdiocese liquidation / St. Vincent's San Rafael</t>
  </si>
  <si>
    <t xml:space="preserve">SureStay Plus Richmond (108 rooms, in default)</t>
  </si>
  <si>
    <t xml:space="preserve">Union Square Plaza Hotel, 432 Geary (69 rooms)</t>
  </si>
  <si>
    <t xml:space="preserve">Motel 6 Civic Center, 583 Eddy (68 rooms)</t>
  </si>
  <si>
    <t xml:space="preserve">Boston Hotel, 140 Turk (32 rooms)</t>
  </si>
  <si>
    <t xml:space="preserve">Blue Hotel, 620–626 O'Farrell (13 rooms, 415+ days on market)</t>
  </si>
  <si>
    <t xml:space="preserve">Motel 6 Lombard, 2230 Lombard (29 rooms)</t>
  </si>
  <si>
    <t xml:space="preserve">San Ramon 72-bed facility ($4.995M)</t>
  </si>
  <si>
    <t xml:space="preserve">Park Lane Motel, Oakland</t>
  </si>
  <si>
    <t xml:space="preserve">Gregory Hunter — Colliers Oakland</t>
  </si>
  <si>
    <t xml:space="preserve">(510) 433-5867</t>
  </si>
  <si>
    <t xml:space="preserve">Colliers profile form</t>
  </si>
  <si>
    <t xml:space="preserve">Isabella Motel, Oakland</t>
  </si>
  <si>
    <t xml:space="preserve">Giovani Franco — Kinetic Real Estate</t>
  </si>
  <si>
    <t xml:space="preserve">(650) 296-3880</t>
  </si>
  <si>
    <t xml:space="preserve">kineticrealestate.com form</t>
  </si>
  <si>
    <t xml:space="preserve">Chaparral Motel, Emeryville</t>
  </si>
  <si>
    <t xml:space="preserve">Steve Peterson (Infinity) + Bobbie Patel</t>
  </si>
  <si>
    <t xml:space="preserve">(408) 509-0700 / (510) 502-2024</t>
  </si>
  <si>
    <t xml:space="preserve">peterson.infinity@gmail.com · Msbobbiepatel@gmail.com</t>
  </si>
  <si>
    <t xml:space="preserve">The Land Retreat, Philo ($12M)</t>
  </si>
  <si>
    <t xml:space="preserve">286 Lenox Ave, Oakland (36u)</t>
  </si>
  <si>
    <t xml:space="preserve">469 Van Buren Ave (16u/26BR)</t>
  </si>
  <si>
    <t xml:space="preserve">NAI NorCal Mitchell Warren Team: Tim Warren · Randell Silva · Kent Mitchell · Adam Beeri</t>
  </si>
  <si>
    <t xml:space="preserve">(707) 363-2463 · (209) 740-1251 · (510) 336-4712 · (510) 778-4141</t>
  </si>
  <si>
    <t xml:space="preserve">mitchellwarrenteam.com/contact</t>
  </si>
  <si>
    <t xml:space="preserve">303 Lee St (25u, assumable 4%)</t>
  </si>
  <si>
    <t xml:space="preserve">Steven Peterson — Infinity Investments</t>
  </si>
  <si>
    <t xml:space="preserve">(408) 509-0700</t>
  </si>
  <si>
    <t xml:space="preserve">peterson.infinity@gmail.com</t>
  </si>
  <si>
    <t xml:space="preserve">369 Palm Ave (24u)</t>
  </si>
  <si>
    <t xml:space="preserve">Jon Holmquist — Marcus &amp; Millichap</t>
  </si>
  <si>
    <t xml:space="preserve">(415) 625-2117</t>
  </si>
  <si>
    <t xml:space="preserve">jon.holmquist@marcusmillichap.com</t>
  </si>
  <si>
    <t xml:space="preserve">1538 Polk St, SF (43u, $4.5M)</t>
  </si>
  <si>
    <t xml:space="preserve">Berkeley: White House Rooming House</t>
  </si>
  <si>
    <t xml:space="preserve">Darlene Pylkkanen</t>
  </si>
  <si>
    <t xml:space="preserve">(650) 649-4891</t>
  </si>
  <si>
    <t xml:space="preserve">och.berkeley.edu listing form</t>
  </si>
  <si>
    <t xml:space="preserve">Berkeley: G-House, 2727 Dwight</t>
  </si>
  <si>
    <t xml:space="preserve">(510) 841-7174 ⚠</t>
  </si>
  <si>
    <t xml:space="preserve">Berkeley: Piedmont Palace</t>
  </si>
  <si>
    <t xml:space="preserve">Square One Management</t>
  </si>
  <si>
    <t xml:space="preserve">(510) 900-5203</t>
  </si>
  <si>
    <t xml:space="preserve">squareonemanagement.com</t>
  </si>
  <si>
    <t xml:space="preserve">Berkeley: TBG portfolio (multiple adjacent buildings)</t>
  </si>
  <si>
    <t xml:space="preserve">Villages at Treasure Island</t>
  </si>
  <si>
    <t xml:space="preserve">Presidio Residences</t>
  </si>
  <si>
    <t xml:space="preserve">FOUND Study SF (group contracts)</t>
  </si>
  <si>
    <t xml:space="preserve">Atlas Oakland</t>
  </si>
  <si>
    <t xml:space="preserve">17th &amp; Broadway, Oakland</t>
  </si>
  <si>
    <t xml:space="preserve">20mish (40 rooms, Mission)</t>
  </si>
  <si>
    <t xml:space="preserve">Brownstone Shared Housing (pods)</t>
  </si>
  <si>
    <t xml:space="preserve">Urbanests</t>
  </si>
  <si>
    <t xml:space="preserve">Foundry (47 rooms, 4 houses)</t>
  </si>
  <si>
    <t xml:space="preserve">Hive Coliving, 1040 Folsom</t>
  </si>
  <si>
    <t xml:space="preserve">Kenmore Residence Club, 1570 Sutter</t>
  </si>
  <si>
    <t xml:space="preserve">Monroe Residence Club, 1870 Sacramento</t>
  </si>
  <si>
    <t xml:space="preserve">Kasa (operator partner for a hotel master lease)</t>
  </si>
  <si>
    <t xml:space="preserve">Group/corporate sales</t>
  </si>
  <si>
    <t xml:space="preserve">(650) 451-3444</t>
  </si>
  <si>
    <t xml:space="preserve">reservations@kasa.com · kasa.com/sales/groups</t>
  </si>
  <si>
    <t xml:space="preserve">HI Downtown hostel (group blocks)</t>
  </si>
  <si>
    <t xml:space="preserve">HI USA group travel</t>
  </si>
  <si>
    <t xml:space="preserve">hiusa.org/group-travel</t>
  </si>
  <si>
    <t xml:space="preserve">Date</t>
  </si>
  <si>
    <t xml:space="preserve">Property (match Pipeline/Inventory name)</t>
  </si>
  <si>
    <t xml:space="preserve">Tab</t>
  </si>
  <si>
    <t xml:space="preserve">Channel (email/call/tour)</t>
  </si>
  <si>
    <t xml:space="preserve">Who reached out</t>
  </si>
  <si>
    <t xml:space="preserve">Contact reached</t>
  </si>
  <si>
    <t xml:space="preserve">Asked (beds from Sept 15 / monthly rate / kitchen)</t>
  </si>
  <si>
    <t xml:space="preserve">Answer: beds available</t>
  </si>
  <si>
    <t xml:space="preserve">Answer: $/bed</t>
  </si>
  <si>
    <t xml:space="preserve">Answer: min stay</t>
  </si>
  <si>
    <t xml:space="preserve">Next step</t>
  </si>
  <si>
    <t xml:space="preserve">Next check date</t>
  </si>
  <si>
    <t xml:space="preserve">2026-08-22</t>
  </si>
  <si>
    <t xml:space="preserve">Pipeline</t>
  </si>
  <si>
    <t xml:space="preserve">email</t>
  </si>
  <si>
    <t xml:space="preserve">Ria</t>
  </si>
  <si>
    <t xml:space="preserve">Richard Ehmer, Ehmer Group</t>
  </si>
  <si>
    <t xml:space="preserve">Master lease 45 rooms from Sept 15, rate, kitchen, Chapter 41 split</t>
  </si>
  <si>
    <t xml:space="preserve">awaiting reply</t>
  </si>
  <si>
    <t xml:space="preserve">2026-08-29</t>
  </si>
  <si>
    <t xml:space="preserve">EXAMPLE ROW — delete. Template: sro-master-lease.</t>
  </si>
  <si>
    <t xml:space="preserve">Template</t>
  </si>
  <si>
    <t xml:space="preserve">Use for</t>
  </si>
  <si>
    <t xml:space="preserve">Subject</t>
  </si>
  <si>
    <t xml:space="preserve">Body</t>
  </si>
  <si>
    <t xml:space="preserve">original-team-template</t>
  </si>
  <si>
    <t xml:space="preserve">Reference — what Alex/Giulia already send (10–15 rooms, 3–6 months)</t>
  </si>
  <si>
    <t xml:space="preserve">Group housing inquiry — Biopunk/Haus Fund</t>
  </si>
  <si>
    <t xml:space="preserve">To whom it may concern,
Hi. My name is [NAME], and I'm scouting properties with my colleague [COLLEAGUE] that could be a good fit for our organisation Biopunk/Haus Fund. We are a fast-growing startup community based in SF, running a network of founder houses focused on biotech and entrepreneurship. Flagship house: https://biopunk.house · Program info: https://haus.fund
We're interested in renting approximately 10 to 15 rooms for an initial period of 3 to 6 months, with the possibility of extending.
Move-in: between September 1st and 15th · Room preference: mix of private and shared · Ideally everyone in the same building · Kitchen/common space on or near the property.
Would it be possible to accommodate a group of this size? If so, we'd love to learn about available options and pricing.
Thank you,
[SIGNATURE]</t>
  </si>
  <si>
    <t xml:space="preserve">sro-master-lease</t>
  </si>
  <si>
    <t xml:space="preserve">SRO / residential hotels (Crystal, Mosser, Boston, Harcourt, Mission Hotel Apts)</t>
  </si>
  <si>
    <t xml:space="preserve">Whole-building residential master lease — 45 rooms, credit tenant</t>
  </si>
  <si>
    <t xml:space="preserve">Hi {{contact_name}},
I represent Biopunk, a San Francisco accelerator that houses 40–50 founders year-round (biopunk.house · haus.fund). We're looking for a 5–10 year residential master lease of a single building in the 35–60 room range and {{name}} at {{address}} fits.
Our structure: one lease held by our program entity, residents on 30+ day same-room agreements (so no hotel tax, no room swapping), a guaranteed monthly rent from a credit tenant, and an option to purchase at a price fixed today. We can move within weeks — ideally occupancy from Sept 15.
Could you share current vacancy, the Chapter 41 residential/tourist split, and the monthly rate you'd consider for all {{rooms}} rooms? I'd propose around {{price_ask}}/room to start the conversation.
Best,
{{sender_name}}
Biopunk · housing@biopunk.house</t>
  </si>
  <si>
    <t xml:space="preserve">dorm-institution</t>
  </si>
  <si>
    <t xml:space="preserve">Academy of Art, CCA, Holy Names, NDNU — never mention the residency</t>
  </si>
  <si>
    <t xml:space="preserve">Residence hall lease for an accelerator cohort — 40–50 beds</t>
  </si>
  <si>
    <t xml:space="preserve">Hi {{contact_name}},
I'm writing on behalf of Biopunk, a large San Francisco accelerator for biotech founders (biopunk.house). Each cohort brings 40–50 residents to the city for a program term, and we're looking for purpose-built student or residence-hall housing rather than hotels.
We understand {{name}} ({{address}}) has residence-hall capacity that may be under-used. We'd like to discuss a master lease of {{rooms}} rooms for a 2–5 year term, with residents on term agreements that match our program calendar, a single institutional tenant on the lease, and a communal kitchen as part of the arrangement.
We can start as early as Sept 15 and are flexible on structure. Who is the right person to speak with about residence-hall leasing?
Thank you,
{{sender_name}}
Biopunk · housing@biopunk.house</t>
  </si>
  <si>
    <t xml:space="preserve">co-living-block</t>
  </si>
  <si>
    <t xml:space="preserve">Operators: FOUND Study, UpMarket/221 7th, Urbanests, Hive, Foundry, 20mish, Brownstone, hostels</t>
  </si>
  <si>
    <t xml:space="preserve">Block booking — 40–50 beds, 30+ nights, recurring</t>
  </si>
  <si>
    <t xml:space="preserve">Hi {{contact_name}},
Biopunk (biopunk.house) houses 40–50 founders in SF every program cycle and we'd like to make {{name}} one of our standing options. We're looking for a block of beds from Sept 15 — mix of private and shared is fine — with 30+ day stays, kitchen access, and a group rate.
Could you send: beds available from Sept 15, the monthly rate at 30+ nights for a group of 20–50, minimum stay, and whether you'd hold a recurring block each cohort (roughly every 3 months)?
We decide fast and pay on signature.
Thanks,
{{sender_name}}
Biopunk · housing@biopunk.house</t>
  </si>
  <si>
    <t xml:space="preserve">receiver-or-lender</t>
  </si>
  <si>
    <t xml:space="preserve">Receivers, special servicers, lender-REO (Moxy, Stanford Court, Whitcomb, Ora, Moran)</t>
  </si>
  <si>
    <t xml:space="preserve">Guaranteed master lease on {{name}} — income while you decide</t>
  </si>
  <si>
    <t xml:space="preserve">Hi {{contact_name}},
I represent Biopunk, an SF accelerator with 40–50 residents per cohort. I understand {{name}} ({{address}}) is currently generating little or no income pending resolution. We'd like to propose a guaranteed master lease of {{rooms}} rooms, 2–5 years with renewal, at around {{price_ask}}/room/month, with a purchase option at a pre-agreed price — converting a dark asset to income while you run your process.
We're a credit tenant with counsel ready and can sign within weeks. Who on your side should I send an LOI to?
Regards,
{{sender_name}}
Biopunk · housing@biopunk.house</t>
  </si>
  <si>
    <t xml:space="preserve">Femhaus — ~10–12 women, kitchen required, 3–6 months</t>
  </si>
  <si>
    <t xml:space="preserve">Small group housing — 10–12 residents, 3–6 months, kitchen required</t>
  </si>
  <si>
    <t xml:space="preserve">Hi {{contact_name}},
Biopunk runs a women-founder residence (Femhaus) within our SF accelerator and we're placing 10–12 residents from Sept 15 for 3–6 months, ideally in one building or one floor. A full kitchen on site is a requirement, private rooms preferred, shared is possible.
Could you confirm what you have available at {{name}} from Sept 15, monthly pricing for a 10–12 person group, and the minimum term?
Thank you,
{{sender_name}}
Biopunk · housing@biopunk.house</t>
  </si>
  <si>
    <t xml:space="preserve">weekly-availability-check</t>
  </si>
  <si>
    <t xml:space="preserve">The automated weekly email (AI-assisted inbox) to every operator on Inventory</t>
  </si>
  <si>
    <t xml:space="preserve">Quick availability check — Biopunk housing ({{month}})</t>
  </si>
  <si>
    <t xml:space="preserve">Hi {{contact_name}},
Quick check for our founders' housing list — three questions:
1. Beds/rooms available from {{date}} (30+ nights)?
2. Monthly rate at 30+ nights, private and shared?
3. Any change to kitchen/common-space access?
A one-line reply is perfect. This list is shared with founders arriving in SF, so accurate numbers mean bookings for you.
Thanks,
{{sender_name}}, Biopunk
housing@biopunk.house · replies are read by our team with help from an AI assistant</t>
  </si>
  <si>
    <t xml:space="preserve">call-script-60s</t>
  </si>
  <si>
    <t xml:space="preserve">Phone follow-up when email gets no reply in 10 days</t>
  </si>
  <si>
    <t xml:space="preserve">"Hi, this is {{sender_name}} from Biopunk, an accelerator in SF. We house 40–50 founders each program and {{name}} is on our list. Three quick questions: how many rooms could you offer from Sept 15 for 30-plus nights? What's the monthly rate for a group? And is there kitchen access? … Great — can I send you a one-paragraph email with our details so you have it in writing? What's the best address?" (Log the answers in the Outreach log.)</t>
  </si>
</sst>
</file>

<file path=xl/styles.xml><?xml version="1.0" encoding="utf-8"?>
<styleSheet xmlns="http://schemas.openxmlformats.org/spreadsheetml/2006/main">
  <numFmts count="4">
    <numFmt numFmtId="164" formatCode="General"/>
    <numFmt numFmtId="165" formatCode="General"/>
    <numFmt numFmtId="166" formatCode="\$#,##0"/>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9"/>
      <name val="Arial"/>
      <family val="0"/>
      <charset val="1"/>
    </font>
    <font>
      <b val="true"/>
      <sz val="10"/>
      <name val="Arial"/>
      <family val="0"/>
      <charset val="1"/>
    </font>
    <font>
      <sz val="10"/>
      <name val="Arial"/>
      <family val="2"/>
    </font>
  </fonts>
  <fills count="4">
    <fill>
      <patternFill patternType="none"/>
    </fill>
    <fill>
      <patternFill patternType="gray125"/>
    </fill>
    <fill>
      <patternFill patternType="solid">
        <fgColor rgb="FF1F3A5F"/>
        <bgColor rgb="FF333333"/>
      </patternFill>
    </fill>
    <fill>
      <patternFill patternType="solid">
        <fgColor rgb="FFFFF2CC"/>
        <bgColor rgb="FFFFEB9C"/>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A5F"/>
          <bgColor rgb="FF000000"/>
        </patternFill>
      </fill>
    </dxf>
    <dxf>
      <fill>
        <patternFill patternType="solid">
          <fgColor rgb="FFDDEBF7"/>
          <bgColor rgb="FF000000"/>
        </patternFill>
      </fill>
    </dxf>
    <dxf>
      <fill>
        <patternFill patternType="solid">
          <bgColor rgb="FF000000"/>
        </patternFill>
      </fill>
    </dxf>
    <dxf>
      <fill>
        <patternFill patternType="solid">
          <fgColor rgb="FF999999"/>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4CCCC"/>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4CCCC"/>
        </patternFill>
      </fill>
    </dxf>
    <dxf>
      <fill>
        <patternFill>
          <bgColor rgb="FFDDEBF7"/>
        </patternFill>
      </fill>
    </dxf>
    <dxf>
      <font>
        <name val="Arial"/>
        <charset val="1"/>
        <family val="0"/>
        <color rgb="FF999999"/>
        <sz val="1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4CCCC"/>
      <rgbColor rgb="FF3366FF"/>
      <rgbColor rgb="FF33CCCC"/>
      <rgbColor rgb="FF99CC00"/>
      <rgbColor rgb="FFFFCC00"/>
      <rgbColor rgb="FFFF9900"/>
      <rgbColor rgb="FFFF6600"/>
      <rgbColor rgb="FF666699"/>
      <rgbColor rgb="FF999999"/>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1"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1" t="s">
        <v>15</v>
      </c>
    </row>
    <row r="20" customFormat="false" ht="23.85" hidden="false" customHeight="false" outlineLevel="0" collapsed="false">
      <c r="A20" s="2" t="s">
        <v>16</v>
      </c>
    </row>
    <row r="21" customFormat="false" ht="15" hidden="false" customHeight="false" outlineLevel="0" collapsed="false">
      <c r="A21" s="2" t="s">
        <v>17</v>
      </c>
    </row>
    <row r="22" customFormat="false" ht="23.85" hidden="false" customHeight="false" outlineLevel="0" collapsed="false">
      <c r="A22" s="2" t="s">
        <v>18</v>
      </c>
    </row>
    <row r="23" customFormat="false" ht="15" hidden="false" customHeight="false" outlineLevel="0" collapsed="false">
      <c r="A23"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2"/>
  </cols>
  <sheetData>
    <row r="1" customFormat="false" ht="42" hidden="false" customHeight="true" outlineLevel="0" collapsed="false">
      <c r="A1" s="3" t="s">
        <v>20</v>
      </c>
      <c r="B1" s="3" t="s">
        <v>21</v>
      </c>
    </row>
    <row r="2" customFormat="false" ht="15" hidden="false" customHeight="false" outlineLevel="0" collapsed="false">
      <c r="A2" s="4" t="s">
        <v>22</v>
      </c>
      <c r="B2" s="5" t="n">
        <v>35</v>
      </c>
    </row>
    <row r="3" customFormat="false" ht="15" hidden="false" customHeight="false" outlineLevel="0" collapsed="false">
      <c r="A3" s="4" t="s">
        <v>23</v>
      </c>
      <c r="B3" s="5" t="n">
        <v>30</v>
      </c>
    </row>
    <row r="4" customFormat="false" ht="15" hidden="false" customHeight="false" outlineLevel="0" collapsed="false">
      <c r="A4" s="4" t="s">
        <v>24</v>
      </c>
      <c r="B4" s="5" t="n">
        <v>15</v>
      </c>
    </row>
    <row r="5" customFormat="false" ht="15" hidden="false" customHeight="false" outlineLevel="0" collapsed="false">
      <c r="A5" s="4" t="s">
        <v>25</v>
      </c>
      <c r="B5" s="5" t="n">
        <v>20</v>
      </c>
    </row>
    <row r="6" customFormat="false" ht="15" hidden="false" customHeight="false" outlineLevel="0" collapsed="false">
      <c r="A6" s="4" t="s">
        <v>26</v>
      </c>
      <c r="B6" s="5" t="n">
        <v>1000</v>
      </c>
    </row>
    <row r="7" customFormat="false" ht="15" hidden="false" customHeight="false" outlineLevel="0" collapsed="false">
      <c r="A7" s="4" t="s">
        <v>27</v>
      </c>
      <c r="B7" s="5" t="n">
        <v>2200</v>
      </c>
    </row>
    <row r="8" customFormat="false" ht="15" hidden="false" customHeight="false" outlineLevel="0" collapsed="false">
      <c r="A8" s="4" t="s">
        <v>28</v>
      </c>
      <c r="B8" s="5" t="n">
        <v>10</v>
      </c>
    </row>
    <row r="9" customFormat="false" ht="15" hidden="false" customHeight="false" outlineLevel="0" collapsed="false">
      <c r="A9" s="4" t="s">
        <v>29</v>
      </c>
      <c r="B9" s="5" t="n">
        <v>45</v>
      </c>
    </row>
    <row r="10" customFormat="false" ht="15" hidden="false" customHeight="false" outlineLevel="0" collapsed="false">
      <c r="A10" s="4" t="s">
        <v>30</v>
      </c>
      <c r="B10" s="5" t="n">
        <v>5</v>
      </c>
    </row>
    <row r="11" customFormat="false" ht="15" hidden="false" customHeight="false" outlineLevel="0" collapsed="false">
      <c r="A11" s="4" t="s">
        <v>31</v>
      </c>
      <c r="B11" s="5" t="n">
        <v>40</v>
      </c>
    </row>
    <row r="12" customFormat="false" ht="15" hidden="false" customHeight="false" outlineLevel="0" collapsed="false">
      <c r="A12" s="4" t="s">
        <v>32</v>
      </c>
      <c r="B12" s="5" t="n">
        <v>45</v>
      </c>
    </row>
    <row r="13" customFormat="false" ht="15" hidden="false" customHeight="false" outlineLevel="0" collapsed="false">
      <c r="A13" s="4" t="s">
        <v>33</v>
      </c>
      <c r="B13" s="5" t="n">
        <v>40</v>
      </c>
    </row>
    <row r="14" customFormat="false" ht="15" hidden="false" customHeight="false" outlineLevel="0" collapsed="false">
      <c r="A14" s="4" t="s">
        <v>34</v>
      </c>
      <c r="B14" s="5" t="n">
        <v>60</v>
      </c>
    </row>
    <row r="16" customFormat="false" ht="15" hidden="false" customHeight="false" outlineLevel="0" collapsed="false">
      <c r="A16" s="6"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30"/>
    <col collapsed="false" customWidth="true" hidden="false" outlineLevel="0" max="4" min="4" style="0" width="16"/>
    <col collapsed="false" customWidth="true" hidden="false" outlineLevel="0" max="5" min="5" style="0" width="11"/>
    <col collapsed="false" customWidth="true" hidden="false" outlineLevel="0" max="6" min="6" style="0" width="9"/>
    <col collapsed="false" customWidth="true" hidden="false" outlineLevel="0" max="7" min="7" style="0" width="14"/>
    <col collapsed="false" customWidth="true" hidden="false" outlineLevel="0" max="8" min="8" style="0" width="13"/>
    <col collapsed="false" customWidth="true" hidden="false" outlineLevel="0" max="9" min="9" style="0" width="8"/>
    <col collapsed="false" customWidth="true" hidden="false" outlineLevel="0" max="11" min="10" style="0" width="7"/>
    <col collapsed="false" customWidth="true" hidden="false" outlineLevel="0" max="14" min="12" style="0" width="9"/>
    <col collapsed="false" customWidth="true" hidden="false" outlineLevel="0" max="15" min="15" style="0" width="11"/>
    <col collapsed="false" customWidth="true" hidden="false" outlineLevel="0" max="16" min="16" style="0" width="10"/>
    <col collapsed="false" customWidth="true" hidden="false" outlineLevel="0" max="17" min="17" style="0" width="12"/>
    <col collapsed="false" customWidth="true" hidden="false" outlineLevel="0" max="18" min="18" style="0" width="14"/>
    <col collapsed="false" customWidth="true" hidden="false" outlineLevel="0" max="19" min="19" style="0" width="18"/>
    <col collapsed="false" customWidth="true" hidden="false" outlineLevel="0" max="20" min="20" style="0" width="9"/>
    <col collapsed="false" customWidth="true" hidden="false" outlineLevel="0" max="21" min="21" style="0" width="6"/>
    <col collapsed="false" customWidth="true" hidden="false" outlineLevel="0" max="22" min="22" style="0" width="8"/>
    <col collapsed="false" customWidth="true" hidden="false" outlineLevel="0" max="23" min="23" style="0" width="28"/>
    <col collapsed="false" customWidth="true" hidden="false" outlineLevel="0" max="24" min="24" style="0" width="30"/>
    <col collapsed="false" customWidth="true" hidden="false" outlineLevel="0" max="25" min="25" style="0" width="26"/>
    <col collapsed="false" customWidth="true" hidden="false" outlineLevel="0" max="26" min="26" style="0" width="20"/>
    <col collapsed="false" customWidth="true" hidden="false" outlineLevel="0" max="27" min="27" style="0" width="28"/>
    <col collapsed="false" customWidth="true" hidden="false" outlineLevel="0" max="28" min="28" style="0" width="14"/>
    <col collapsed="false" customWidth="true" hidden="false" outlineLevel="0" max="29" min="29" style="0" width="30"/>
    <col collapsed="false" customWidth="true" hidden="false" outlineLevel="0" max="30" min="30" style="0" width="60"/>
    <col collapsed="false" customWidth="true" hidden="false" outlineLevel="0" max="34" min="31" style="0" width="7"/>
    <col collapsed="false" customWidth="true" hidden="false" outlineLevel="0" max="35" min="35" style="0" width="8"/>
    <col collapsed="false" customWidth="true" hidden="false" outlineLevel="0" max="36" min="36" style="0" width="12"/>
    <col collapsed="false" customWidth="true" hidden="false" outlineLevel="0" max="37" min="37" style="0" width="14"/>
  </cols>
  <sheetData>
    <row r="1" customFormat="false" ht="42" hidden="false" customHeight="true" outlineLevel="0" collapsed="false">
      <c r="A1" s="3" t="s">
        <v>36</v>
      </c>
      <c r="B1" s="3" t="s">
        <v>37</v>
      </c>
      <c r="C1" s="3" t="s">
        <v>38</v>
      </c>
      <c r="D1" s="3" t="s">
        <v>39</v>
      </c>
      <c r="E1" s="3" t="s">
        <v>40</v>
      </c>
      <c r="F1" s="3" t="s">
        <v>41</v>
      </c>
      <c r="G1" s="3" t="s">
        <v>42</v>
      </c>
      <c r="H1" s="3" t="s">
        <v>43</v>
      </c>
      <c r="I1" s="3" t="s">
        <v>44</v>
      </c>
      <c r="J1" s="3" t="s">
        <v>45</v>
      </c>
      <c r="K1" s="3" t="s">
        <v>46</v>
      </c>
      <c r="L1" s="3" t="s">
        <v>47</v>
      </c>
      <c r="M1" s="3" t="s">
        <v>48</v>
      </c>
      <c r="N1" s="3" t="s">
        <v>49</v>
      </c>
      <c r="O1" s="3" t="s">
        <v>50</v>
      </c>
      <c r="P1" s="3" t="s">
        <v>51</v>
      </c>
      <c r="Q1" s="3" t="s">
        <v>52</v>
      </c>
      <c r="R1" s="3" t="s">
        <v>53</v>
      </c>
      <c r="S1" s="3" t="s">
        <v>54</v>
      </c>
      <c r="T1" s="3" t="s">
        <v>55</v>
      </c>
      <c r="U1" s="3" t="s">
        <v>56</v>
      </c>
      <c r="V1" s="3" t="s">
        <v>57</v>
      </c>
      <c r="W1" s="3" t="s">
        <v>58</v>
      </c>
      <c r="X1" s="3" t="s">
        <v>59</v>
      </c>
      <c r="Y1" s="3" t="s">
        <v>60</v>
      </c>
      <c r="Z1" s="3" t="s">
        <v>61</v>
      </c>
      <c r="AA1" s="3" t="s">
        <v>62</v>
      </c>
      <c r="AB1" s="3" t="s">
        <v>63</v>
      </c>
      <c r="AC1" s="3" t="s">
        <v>64</v>
      </c>
      <c r="AD1" s="3" t="s">
        <v>65</v>
      </c>
      <c r="AE1" s="3" t="s">
        <v>66</v>
      </c>
      <c r="AF1" s="3" t="s">
        <v>67</v>
      </c>
      <c r="AG1" s="3" t="s">
        <v>68</v>
      </c>
      <c r="AH1" s="3" t="s">
        <v>69</v>
      </c>
      <c r="AI1" s="3" t="s">
        <v>70</v>
      </c>
      <c r="AJ1" s="3" t="s">
        <v>71</v>
      </c>
      <c r="AK1" s="3" t="s">
        <v>72</v>
      </c>
    </row>
    <row r="2" customFormat="false" ht="135.8" hidden="false" customHeight="false" outlineLevel="0" collapsed="false">
      <c r="A2" s="7" t="n">
        <f aca="false">RANK(AI2,$AI$2:$AI$70)</f>
        <v>38</v>
      </c>
      <c r="B2" s="7" t="s">
        <v>73</v>
      </c>
      <c r="C2" s="7" t="s">
        <v>74</v>
      </c>
      <c r="D2" s="7" t="s">
        <v>75</v>
      </c>
      <c r="E2" s="7" t="s">
        <v>76</v>
      </c>
      <c r="F2" s="7" t="n">
        <v>45</v>
      </c>
      <c r="G2" s="7" t="s">
        <v>77</v>
      </c>
      <c r="H2" s="7" t="s">
        <v>78</v>
      </c>
      <c r="I2" s="7" t="n">
        <v>172</v>
      </c>
      <c r="J2" s="7" t="n">
        <v>1</v>
      </c>
      <c r="K2" s="7" t="n">
        <f aca="false">IF(I2="","",I2*J2)</f>
        <v>172</v>
      </c>
      <c r="L2" s="8" t="n">
        <v>1000</v>
      </c>
      <c r="M2" s="8" t="n">
        <v>1400</v>
      </c>
      <c r="N2" s="8" t="n">
        <f aca="false">IF(L2="","",ROUND((L2+M2)/2/J2,0))</f>
        <v>1200</v>
      </c>
      <c r="O2" s="8" t="n">
        <f aca="false">IF(N2="","",N2*Weights!$B$12)</f>
        <v>54000</v>
      </c>
      <c r="P2" s="7" t="s">
        <v>79</v>
      </c>
      <c r="Q2" s="7" t="s">
        <v>80</v>
      </c>
      <c r="R2" s="7" t="s">
        <v>81</v>
      </c>
      <c r="S2" s="7" t="s">
        <v>82</v>
      </c>
      <c r="T2" s="7" t="s">
        <v>83</v>
      </c>
      <c r="U2" s="7"/>
      <c r="V2" s="7"/>
      <c r="W2" s="7" t="s">
        <v>84</v>
      </c>
      <c r="X2" s="7" t="s">
        <v>85</v>
      </c>
      <c r="Y2" s="7" t="s">
        <v>86</v>
      </c>
      <c r="Z2" s="7" t="s">
        <v>87</v>
      </c>
      <c r="AA2" s="7" t="s">
        <v>88</v>
      </c>
      <c r="AB2" s="7" t="s">
        <v>89</v>
      </c>
      <c r="AC2" s="7" t="s">
        <v>90</v>
      </c>
      <c r="AD2" s="7" t="s">
        <v>91</v>
      </c>
      <c r="AE2" s="9" t="n">
        <f aca="false">IF(LEFT(E2,2)="SF",IF(F2="",0,Weights!$B$2*MAX(0,MIN(1,(Weights!$B$9-F2)/(Weights!$B$9-Weights!$B$8)))),0)</f>
        <v>0</v>
      </c>
      <c r="AF2" s="9" t="n">
        <f aca="false">IF(N2="",5,Weights!$B$3*MAX(0,MIN(1,(Weights!$B$7-N2)/(Weights!$B$7-Weights!$B$6))))</f>
        <v>25</v>
      </c>
      <c r="AG2" s="9" t="n">
        <f aca="false">IF(P2="none",0,IF(P2="unknown",5,Weights!$B$4))</f>
        <v>0</v>
      </c>
      <c r="AH2" s="9" t="n">
        <f aca="false">IF(K2="",4,IF(AND(K2&gt;=Weights!$B$13,K2&lt;=Weights!$B$14),Weights!$B$5,IF(K2&gt;100,15,IF(K2&gt;=20,12,4))))</f>
        <v>15</v>
      </c>
      <c r="AI2" s="10" t="n">
        <f aca="false">IF(OR(Q2="taken",Q2="sold",Q2="ruled-out"),0,MIN(IF(AND(H2="tourist-hotel",P2="none"),Weights!$B$11,100),AE2+AF2+AG2+AH2)+IF(T2="yes",Weights!$B$10,0))</f>
        <v>40</v>
      </c>
      <c r="AJ2" s="7" t="s">
        <v>92</v>
      </c>
      <c r="AK2" s="7" t="s">
        <v>93</v>
      </c>
    </row>
    <row r="3" customFormat="false" ht="113.4" hidden="false" customHeight="false" outlineLevel="0" collapsed="false">
      <c r="A3" s="7" t="n">
        <f aca="false">RANK(AI3,$AI$2:$AI$70)</f>
        <v>11</v>
      </c>
      <c r="B3" s="7" t="s">
        <v>94</v>
      </c>
      <c r="C3" s="7" t="s">
        <v>95</v>
      </c>
      <c r="D3" s="7" t="s">
        <v>96</v>
      </c>
      <c r="E3" s="7" t="s">
        <v>97</v>
      </c>
      <c r="F3" s="7" t="n">
        <v>32</v>
      </c>
      <c r="G3" s="7" t="s">
        <v>77</v>
      </c>
      <c r="H3" s="7" t="s">
        <v>98</v>
      </c>
      <c r="I3" s="7" t="n">
        <v>45</v>
      </c>
      <c r="J3" s="7" t="n">
        <v>1</v>
      </c>
      <c r="K3" s="7" t="n">
        <f aca="false">IF(I3="","",I3*J3)</f>
        <v>45</v>
      </c>
      <c r="L3" s="8" t="n">
        <v>500</v>
      </c>
      <c r="M3" s="8" t="n">
        <v>500</v>
      </c>
      <c r="N3" s="8" t="n">
        <f aca="false">IF(L3="","",ROUND((L3+M3)/2/J3,0))</f>
        <v>500</v>
      </c>
      <c r="O3" s="8" t="n">
        <f aca="false">IF(N3="","",N3*Weights!$B$12)</f>
        <v>22500</v>
      </c>
      <c r="P3" s="7" t="s">
        <v>99</v>
      </c>
      <c r="Q3" s="7" t="s">
        <v>100</v>
      </c>
      <c r="R3" s="7" t="s">
        <v>81</v>
      </c>
      <c r="S3" s="7" t="s">
        <v>101</v>
      </c>
      <c r="T3" s="7" t="s">
        <v>102</v>
      </c>
      <c r="U3" s="7"/>
      <c r="V3" s="7"/>
      <c r="W3" s="7" t="s">
        <v>103</v>
      </c>
      <c r="X3" s="7" t="s">
        <v>104</v>
      </c>
      <c r="Y3" s="7" t="s">
        <v>105</v>
      </c>
      <c r="Z3" s="7" t="s">
        <v>106</v>
      </c>
      <c r="AA3" s="7" t="s">
        <v>107</v>
      </c>
      <c r="AB3" s="7" t="s">
        <v>89</v>
      </c>
      <c r="AC3" s="7" t="s">
        <v>108</v>
      </c>
      <c r="AD3" s="7" t="s">
        <v>109</v>
      </c>
      <c r="AE3" s="9" t="n">
        <f aca="false">IF(LEFT(E3,2)="SF",IF(F3="",0,Weights!$B$2*MAX(0,MIN(1,(Weights!$B$9-F3)/(Weights!$B$9-Weights!$B$8)))),0)</f>
        <v>13</v>
      </c>
      <c r="AF3" s="9" t="n">
        <f aca="false">IF(N3="",5,Weights!$B$3*MAX(0,MIN(1,(Weights!$B$7-N3)/(Weights!$B$7-Weights!$B$6))))</f>
        <v>30</v>
      </c>
      <c r="AG3" s="9" t="n">
        <f aca="false">IF(P3="none",0,IF(P3="unknown",5,Weights!$B$4))</f>
        <v>15</v>
      </c>
      <c r="AH3" s="9" t="n">
        <f aca="false">IF(K3="",4,IF(AND(K3&gt;=Weights!$B$13,K3&lt;=Weights!$B$14),Weights!$B$5,IF(K3&gt;100,15,IF(K3&gt;=20,12,4))))</f>
        <v>20</v>
      </c>
      <c r="AI3" s="10" t="n">
        <f aca="false">IF(OR(Q3="taken",Q3="sold",Q3="ruled-out"),0,MIN(IF(AND(H3="tourist-hotel",P3="none"),Weights!$B$11,100),AE3+AF3+AG3+AH3)+IF(T3="yes",Weights!$B$10,0))</f>
        <v>78</v>
      </c>
      <c r="AJ3" s="7" t="s">
        <v>92</v>
      </c>
      <c r="AK3" s="7" t="s">
        <v>93</v>
      </c>
    </row>
    <row r="4" customFormat="false" ht="79.85" hidden="false" customHeight="false" outlineLevel="0" collapsed="false">
      <c r="A4" s="7" t="n">
        <f aca="false">RANK(AI4,$AI$2:$AI$70)</f>
        <v>19</v>
      </c>
      <c r="B4" s="7" t="s">
        <v>110</v>
      </c>
      <c r="C4" s="7" t="s">
        <v>111</v>
      </c>
      <c r="D4" s="7" t="s">
        <v>112</v>
      </c>
      <c r="E4" s="7" t="s">
        <v>76</v>
      </c>
      <c r="F4" s="7" t="n">
        <v>40</v>
      </c>
      <c r="G4" s="7" t="s">
        <v>77</v>
      </c>
      <c r="H4" s="7" t="s">
        <v>113</v>
      </c>
      <c r="I4" s="7" t="n">
        <v>160</v>
      </c>
      <c r="J4" s="7" t="n">
        <v>1</v>
      </c>
      <c r="K4" s="7" t="n">
        <f aca="false">IF(I4="","",I4*J4)</f>
        <v>160</v>
      </c>
      <c r="L4" s="8" t="n">
        <v>700</v>
      </c>
      <c r="M4" s="8" t="n">
        <v>1000</v>
      </c>
      <c r="N4" s="8" t="n">
        <f aca="false">IF(L4="","",ROUND((L4+M4)/2/J4,0))</f>
        <v>850</v>
      </c>
      <c r="O4" s="8" t="n">
        <f aca="false">IF(N4="","",N4*Weights!$B$12)</f>
        <v>38250</v>
      </c>
      <c r="P4" s="7" t="s">
        <v>114</v>
      </c>
      <c r="Q4" s="7" t="s">
        <v>115</v>
      </c>
      <c r="R4" s="7" t="s">
        <v>81</v>
      </c>
      <c r="S4" s="7" t="s">
        <v>82</v>
      </c>
      <c r="T4" s="7" t="s">
        <v>116</v>
      </c>
      <c r="U4" s="7"/>
      <c r="V4" s="7"/>
      <c r="W4" s="7" t="s">
        <v>117</v>
      </c>
      <c r="X4" s="7" t="s">
        <v>118</v>
      </c>
      <c r="Y4" s="7" t="s">
        <v>119</v>
      </c>
      <c r="Z4" s="7" t="s">
        <v>120</v>
      </c>
      <c r="AA4" s="7" t="s">
        <v>121</v>
      </c>
      <c r="AB4" s="7" t="s">
        <v>89</v>
      </c>
      <c r="AC4" s="7" t="s">
        <v>122</v>
      </c>
      <c r="AD4" s="7" t="s">
        <v>123</v>
      </c>
      <c r="AE4" s="9" t="n">
        <f aca="false">IF(LEFT(E4,2)="SF",IF(F4="",0,Weights!$B$2*MAX(0,MIN(1,(Weights!$B$9-F4)/(Weights!$B$9-Weights!$B$8)))),0)</f>
        <v>0</v>
      </c>
      <c r="AF4" s="9" t="n">
        <f aca="false">IF(N4="",5,Weights!$B$3*MAX(0,MIN(1,(Weights!$B$7-N4)/(Weights!$B$7-Weights!$B$6))))</f>
        <v>30</v>
      </c>
      <c r="AG4" s="9" t="n">
        <f aca="false">IF(P4="none",0,IF(P4="unknown",5,Weights!$B$4))</f>
        <v>15</v>
      </c>
      <c r="AH4" s="9" t="n">
        <f aca="false">IF(K4="",4,IF(AND(K4&gt;=Weights!$B$13,K4&lt;=Weights!$B$14),Weights!$B$5,IF(K4&gt;100,15,IF(K4&gt;=20,12,4))))</f>
        <v>15</v>
      </c>
      <c r="AI4" s="10" t="n">
        <f aca="false">IF(OR(Q4="taken",Q4="sold",Q4="ruled-out"),0,MIN(IF(AND(H4="tourist-hotel",P4="none"),Weights!$B$11,100),AE4+AF4+AG4+AH4)+IF(T4="yes",Weights!$B$10,0))</f>
        <v>65</v>
      </c>
      <c r="AJ4" s="7" t="s">
        <v>92</v>
      </c>
      <c r="AK4" s="7" t="s">
        <v>93</v>
      </c>
    </row>
    <row r="5" customFormat="false" ht="68.65" hidden="false" customHeight="false" outlineLevel="0" collapsed="false">
      <c r="A5" s="7" t="n">
        <f aca="false">RANK(AI5,$AI$2:$AI$70)</f>
        <v>38</v>
      </c>
      <c r="B5" s="7" t="s">
        <v>124</v>
      </c>
      <c r="C5" s="7" t="s">
        <v>125</v>
      </c>
      <c r="D5" s="7" t="s">
        <v>126</v>
      </c>
      <c r="E5" s="7" t="s">
        <v>127</v>
      </c>
      <c r="F5" s="7" t="n">
        <v>14</v>
      </c>
      <c r="G5" s="7" t="s">
        <v>77</v>
      </c>
      <c r="H5" s="7" t="s">
        <v>78</v>
      </c>
      <c r="I5" s="7" t="n">
        <v>84</v>
      </c>
      <c r="J5" s="7" t="n">
        <v>1</v>
      </c>
      <c r="K5" s="7" t="n">
        <f aca="false">IF(I5="","",I5*J5)</f>
        <v>84</v>
      </c>
      <c r="L5" s="8" t="n">
        <v>1100</v>
      </c>
      <c r="M5" s="8" t="n">
        <v>1300</v>
      </c>
      <c r="N5" s="8" t="n">
        <f aca="false">IF(L5="","",ROUND((L5+M5)/2/J5,0))</f>
        <v>1200</v>
      </c>
      <c r="O5" s="8" t="n">
        <f aca="false">IF(N5="","",N5*Weights!$B$12)</f>
        <v>54000</v>
      </c>
      <c r="P5" s="7" t="s">
        <v>79</v>
      </c>
      <c r="Q5" s="7" t="s">
        <v>100</v>
      </c>
      <c r="R5" s="7" t="s">
        <v>81</v>
      </c>
      <c r="S5" s="7" t="s">
        <v>128</v>
      </c>
      <c r="T5" s="7" t="s">
        <v>83</v>
      </c>
      <c r="U5" s="7"/>
      <c r="V5" s="7"/>
      <c r="W5" s="7" t="s">
        <v>129</v>
      </c>
      <c r="X5" s="7" t="s">
        <v>130</v>
      </c>
      <c r="Y5" s="7" t="s">
        <v>131</v>
      </c>
      <c r="Z5" s="7" t="s">
        <v>132</v>
      </c>
      <c r="AA5" s="7" t="s">
        <v>133</v>
      </c>
      <c r="AB5" s="7" t="s">
        <v>134</v>
      </c>
      <c r="AC5" s="7" t="s">
        <v>135</v>
      </c>
      <c r="AD5" s="7" t="s">
        <v>136</v>
      </c>
      <c r="AE5" s="9" t="n">
        <f aca="false">IF(LEFT(E5,2)="SF",IF(F5="",0,Weights!$B$2*MAX(0,MIN(1,(Weights!$B$9-F5)/(Weights!$B$9-Weights!$B$8)))),0)</f>
        <v>31</v>
      </c>
      <c r="AF5" s="9" t="n">
        <f aca="false">IF(N5="",5,Weights!$B$3*MAX(0,MIN(1,(Weights!$B$7-N5)/(Weights!$B$7-Weights!$B$6))))</f>
        <v>25</v>
      </c>
      <c r="AG5" s="9" t="n">
        <f aca="false">IF(P5="none",0,IF(P5="unknown",5,Weights!$B$4))</f>
        <v>0</v>
      </c>
      <c r="AH5" s="9" t="n">
        <f aca="false">IF(K5="",4,IF(AND(K5&gt;=Weights!$B$13,K5&lt;=Weights!$B$14),Weights!$B$5,IF(K5&gt;100,15,IF(K5&gt;=20,12,4))))</f>
        <v>12</v>
      </c>
      <c r="AI5" s="10" t="n">
        <f aca="false">IF(OR(Q5="taken",Q5="sold",Q5="ruled-out"),0,MIN(IF(AND(H5="tourist-hotel",P5="none"),Weights!$B$11,100),AE5+AF5+AG5+AH5)+IF(T5="yes",Weights!$B$10,0))</f>
        <v>40</v>
      </c>
      <c r="AJ5" s="7" t="s">
        <v>92</v>
      </c>
      <c r="AK5" s="7" t="s">
        <v>93</v>
      </c>
    </row>
    <row r="6" customFormat="false" ht="46.25" hidden="false" customHeight="false" outlineLevel="0" collapsed="false">
      <c r="A6" s="7" t="n">
        <f aca="false">RANK(AI6,$AI$2:$AI$70)</f>
        <v>38</v>
      </c>
      <c r="B6" s="7" t="s">
        <v>137</v>
      </c>
      <c r="C6" s="7" t="s">
        <v>138</v>
      </c>
      <c r="D6" s="7" t="s">
        <v>139</v>
      </c>
      <c r="E6" s="7" t="s">
        <v>127</v>
      </c>
      <c r="F6" s="7" t="n">
        <v>8</v>
      </c>
      <c r="G6" s="7" t="s">
        <v>77</v>
      </c>
      <c r="H6" s="7" t="s">
        <v>78</v>
      </c>
      <c r="I6" s="7" t="n">
        <v>131</v>
      </c>
      <c r="J6" s="7" t="n">
        <v>1</v>
      </c>
      <c r="K6" s="7" t="n">
        <f aca="false">IF(I6="","",I6*J6)</f>
        <v>131</v>
      </c>
      <c r="L6" s="8" t="n">
        <v>1500</v>
      </c>
      <c r="M6" s="8" t="n">
        <v>2000</v>
      </c>
      <c r="N6" s="8" t="n">
        <f aca="false">IF(L6="","",ROUND((L6+M6)/2/J6,0))</f>
        <v>1750</v>
      </c>
      <c r="O6" s="8" t="n">
        <f aca="false">IF(N6="","",N6*Weights!$B$12)</f>
        <v>78750</v>
      </c>
      <c r="P6" s="7" t="s">
        <v>79</v>
      </c>
      <c r="Q6" s="7" t="s">
        <v>140</v>
      </c>
      <c r="R6" s="7" t="s">
        <v>81</v>
      </c>
      <c r="S6" s="7" t="s">
        <v>128</v>
      </c>
      <c r="T6" s="7" t="s">
        <v>83</v>
      </c>
      <c r="U6" s="7"/>
      <c r="V6" s="7"/>
      <c r="W6" s="7" t="s">
        <v>141</v>
      </c>
      <c r="X6" s="7" t="s">
        <v>142</v>
      </c>
      <c r="Y6" s="7" t="s">
        <v>143</v>
      </c>
      <c r="Z6" s="7" t="s">
        <v>144</v>
      </c>
      <c r="AA6" s="7" t="s">
        <v>145</v>
      </c>
      <c r="AB6" s="7" t="s">
        <v>89</v>
      </c>
      <c r="AC6" s="7" t="s">
        <v>146</v>
      </c>
      <c r="AD6" s="7" t="s">
        <v>147</v>
      </c>
      <c r="AE6" s="9" t="n">
        <f aca="false">IF(LEFT(E6,2)="SF",IF(F6="",0,Weights!$B$2*MAX(0,MIN(1,(Weights!$B$9-F6)/(Weights!$B$9-Weights!$B$8)))),0)</f>
        <v>35</v>
      </c>
      <c r="AF6" s="9" t="n">
        <f aca="false">IF(N6="",5,Weights!$B$3*MAX(0,MIN(1,(Weights!$B$7-N6)/(Weights!$B$7-Weights!$B$6))))</f>
        <v>11.25</v>
      </c>
      <c r="AG6" s="9" t="n">
        <f aca="false">IF(P6="none",0,IF(P6="unknown",5,Weights!$B$4))</f>
        <v>0</v>
      </c>
      <c r="AH6" s="9" t="n">
        <f aca="false">IF(K6="",4,IF(AND(K6&gt;=Weights!$B$13,K6&lt;=Weights!$B$14),Weights!$B$5,IF(K6&gt;100,15,IF(K6&gt;=20,12,4))))</f>
        <v>15</v>
      </c>
      <c r="AI6" s="10" t="n">
        <f aca="false">IF(OR(Q6="taken",Q6="sold",Q6="ruled-out"),0,MIN(IF(AND(H6="tourist-hotel",P6="none"),Weights!$B$11,100),AE6+AF6+AG6+AH6)+IF(T6="yes",Weights!$B$10,0))</f>
        <v>40</v>
      </c>
      <c r="AJ6" s="7" t="s">
        <v>92</v>
      </c>
      <c r="AK6" s="7" t="s">
        <v>93</v>
      </c>
    </row>
    <row r="7" customFormat="false" ht="180.55" hidden="false" customHeight="false" outlineLevel="0" collapsed="false">
      <c r="A7" s="7" t="n">
        <f aca="false">RANK(AI7,$AI$2:$AI$70)</f>
        <v>10</v>
      </c>
      <c r="B7" s="7" t="s">
        <v>148</v>
      </c>
      <c r="C7" s="7" t="s">
        <v>149</v>
      </c>
      <c r="D7" s="7" t="s">
        <v>150</v>
      </c>
      <c r="E7" s="7" t="s">
        <v>127</v>
      </c>
      <c r="F7" s="7" t="n">
        <v>18</v>
      </c>
      <c r="G7" s="7" t="s">
        <v>77</v>
      </c>
      <c r="H7" s="7" t="s">
        <v>151</v>
      </c>
      <c r="I7" s="7" t="n">
        <v>36</v>
      </c>
      <c r="J7" s="7" t="n">
        <v>2</v>
      </c>
      <c r="K7" s="7" t="n">
        <f aca="false">IF(I7="","",I7*J7)</f>
        <v>72</v>
      </c>
      <c r="L7" s="8" t="n">
        <v>1100</v>
      </c>
      <c r="M7" s="8" t="n">
        <v>1500</v>
      </c>
      <c r="N7" s="8" t="n">
        <f aca="false">IF(L7="","",ROUND((L7+M7)/2/J7,0))</f>
        <v>650</v>
      </c>
      <c r="O7" s="8" t="n">
        <f aca="false">IF(N7="","",N7*Weights!$B$12)</f>
        <v>29250</v>
      </c>
      <c r="P7" s="7" t="s">
        <v>99</v>
      </c>
      <c r="Q7" s="7" t="s">
        <v>140</v>
      </c>
      <c r="R7" s="7" t="s">
        <v>81</v>
      </c>
      <c r="S7" s="7" t="s">
        <v>152</v>
      </c>
      <c r="T7" s="7" t="s">
        <v>102</v>
      </c>
      <c r="U7" s="7" t="s">
        <v>116</v>
      </c>
      <c r="V7" s="7"/>
      <c r="W7" s="7" t="s">
        <v>153</v>
      </c>
      <c r="X7" s="7" t="s">
        <v>154</v>
      </c>
      <c r="Y7" s="7" t="s">
        <v>155</v>
      </c>
      <c r="Z7" s="7" t="s">
        <v>156</v>
      </c>
      <c r="AA7" s="7" t="s">
        <v>157</v>
      </c>
      <c r="AB7" s="7" t="s">
        <v>89</v>
      </c>
      <c r="AC7" s="7" t="s">
        <v>158</v>
      </c>
      <c r="AD7" s="7" t="s">
        <v>159</v>
      </c>
      <c r="AE7" s="9" t="n">
        <f aca="false">IF(LEFT(E7,2)="SF",IF(F7="",0,Weights!$B$2*MAX(0,MIN(1,(Weights!$B$9-F7)/(Weights!$B$9-Weights!$B$8)))),0)</f>
        <v>27</v>
      </c>
      <c r="AF7" s="9" t="n">
        <f aca="false">IF(N7="",5,Weights!$B$3*MAX(0,MIN(1,(Weights!$B$7-N7)/(Weights!$B$7-Weights!$B$6))))</f>
        <v>30</v>
      </c>
      <c r="AG7" s="9" t="n">
        <f aca="false">IF(P7="none",0,IF(P7="unknown",5,Weights!$B$4))</f>
        <v>15</v>
      </c>
      <c r="AH7" s="9" t="n">
        <f aca="false">IF(K7="",4,IF(AND(K7&gt;=Weights!$B$13,K7&lt;=Weights!$B$14),Weights!$B$5,IF(K7&gt;100,15,IF(K7&gt;=20,12,4))))</f>
        <v>12</v>
      </c>
      <c r="AI7" s="10" t="n">
        <f aca="false">IF(OR(Q7="taken",Q7="sold",Q7="ruled-out"),0,MIN(IF(AND(H7="tourist-hotel",P7="none"),Weights!$B$11,100),AE7+AF7+AG7+AH7)+IF(T7="yes",Weights!$B$10,0))</f>
        <v>84</v>
      </c>
      <c r="AJ7" s="7" t="s">
        <v>92</v>
      </c>
      <c r="AK7" s="7" t="s">
        <v>93</v>
      </c>
    </row>
    <row r="8" customFormat="false" ht="180.55" hidden="false" customHeight="false" outlineLevel="0" collapsed="false">
      <c r="A8" s="7" t="n">
        <f aca="false">RANK(AI8,$AI$2:$AI$70)</f>
        <v>5</v>
      </c>
      <c r="B8" s="7" t="s">
        <v>160</v>
      </c>
      <c r="C8" s="7" t="s">
        <v>161</v>
      </c>
      <c r="D8" s="7" t="s">
        <v>150</v>
      </c>
      <c r="E8" s="7" t="s">
        <v>127</v>
      </c>
      <c r="F8" s="7" t="n">
        <v>16</v>
      </c>
      <c r="G8" s="7" t="s">
        <v>77</v>
      </c>
      <c r="H8" s="7" t="s">
        <v>151</v>
      </c>
      <c r="I8" s="7" t="n">
        <v>60</v>
      </c>
      <c r="J8" s="7" t="n">
        <v>2</v>
      </c>
      <c r="K8" s="7" t="n">
        <f aca="false">IF(I8="","",I8*J8)</f>
        <v>120</v>
      </c>
      <c r="L8" s="8" t="n">
        <v>1100</v>
      </c>
      <c r="M8" s="8" t="n">
        <v>1500</v>
      </c>
      <c r="N8" s="8" t="n">
        <f aca="false">IF(L8="","",ROUND((L8+M8)/2/J8,0))</f>
        <v>650</v>
      </c>
      <c r="O8" s="8" t="n">
        <f aca="false">IF(N8="","",N8*Weights!$B$12)</f>
        <v>29250</v>
      </c>
      <c r="P8" s="7" t="s">
        <v>99</v>
      </c>
      <c r="Q8" s="7" t="s">
        <v>140</v>
      </c>
      <c r="R8" s="7" t="s">
        <v>81</v>
      </c>
      <c r="S8" s="7" t="s">
        <v>162</v>
      </c>
      <c r="T8" s="7" t="s">
        <v>102</v>
      </c>
      <c r="U8" s="7" t="s">
        <v>116</v>
      </c>
      <c r="V8" s="7"/>
      <c r="W8" s="7" t="s">
        <v>153</v>
      </c>
      <c r="X8" s="7" t="s">
        <v>154</v>
      </c>
      <c r="Y8" s="7" t="s">
        <v>155</v>
      </c>
      <c r="Z8" s="7" t="s">
        <v>156</v>
      </c>
      <c r="AA8" s="7" t="s">
        <v>157</v>
      </c>
      <c r="AB8" s="7" t="s">
        <v>89</v>
      </c>
      <c r="AC8" s="7" t="s">
        <v>158</v>
      </c>
      <c r="AD8" s="7" t="s">
        <v>159</v>
      </c>
      <c r="AE8" s="9" t="n">
        <f aca="false">IF(LEFT(E8,2)="SF",IF(F8="",0,Weights!$B$2*MAX(0,MIN(1,(Weights!$B$9-F8)/(Weights!$B$9-Weights!$B$8)))),0)</f>
        <v>29</v>
      </c>
      <c r="AF8" s="9" t="n">
        <f aca="false">IF(N8="",5,Weights!$B$3*MAX(0,MIN(1,(Weights!$B$7-N8)/(Weights!$B$7-Weights!$B$6))))</f>
        <v>30</v>
      </c>
      <c r="AG8" s="9" t="n">
        <f aca="false">IF(P8="none",0,IF(P8="unknown",5,Weights!$B$4))</f>
        <v>15</v>
      </c>
      <c r="AH8" s="9" t="n">
        <f aca="false">IF(K8="",4,IF(AND(K8&gt;=Weights!$B$13,K8&lt;=Weights!$B$14),Weights!$B$5,IF(K8&gt;100,15,IF(K8&gt;=20,12,4))))</f>
        <v>15</v>
      </c>
      <c r="AI8" s="10" t="n">
        <f aca="false">IF(OR(Q8="taken",Q8="sold",Q8="ruled-out"),0,MIN(IF(AND(H8="tourist-hotel",P8="none"),Weights!$B$11,100),AE8+AF8+AG8+AH8)+IF(T8="yes",Weights!$B$10,0))</f>
        <v>89</v>
      </c>
      <c r="AJ8" s="7" t="s">
        <v>92</v>
      </c>
      <c r="AK8" s="7" t="s">
        <v>93</v>
      </c>
    </row>
    <row r="9" customFormat="false" ht="180.55" hidden="false" customHeight="false" outlineLevel="0" collapsed="false">
      <c r="A9" s="7" t="n">
        <f aca="false">RANK(AI9,$AI$2:$AI$70)</f>
        <v>7</v>
      </c>
      <c r="B9" s="7" t="s">
        <v>163</v>
      </c>
      <c r="C9" s="7" t="s">
        <v>164</v>
      </c>
      <c r="D9" s="7" t="s">
        <v>150</v>
      </c>
      <c r="E9" s="7" t="s">
        <v>127</v>
      </c>
      <c r="F9" s="7" t="n">
        <v>17</v>
      </c>
      <c r="G9" s="7" t="s">
        <v>77</v>
      </c>
      <c r="H9" s="7" t="s">
        <v>151</v>
      </c>
      <c r="I9" s="7" t="n">
        <v>57</v>
      </c>
      <c r="J9" s="7" t="n">
        <v>2</v>
      </c>
      <c r="K9" s="7" t="n">
        <f aca="false">IF(I9="","",I9*J9)</f>
        <v>114</v>
      </c>
      <c r="L9" s="8" t="n">
        <v>1100</v>
      </c>
      <c r="M9" s="8" t="n">
        <v>1500</v>
      </c>
      <c r="N9" s="8" t="n">
        <f aca="false">IF(L9="","",ROUND((L9+M9)/2/J9,0))</f>
        <v>650</v>
      </c>
      <c r="O9" s="8" t="n">
        <f aca="false">IF(N9="","",N9*Weights!$B$12)</f>
        <v>29250</v>
      </c>
      <c r="P9" s="7" t="s">
        <v>99</v>
      </c>
      <c r="Q9" s="7" t="s">
        <v>115</v>
      </c>
      <c r="R9" s="7" t="s">
        <v>81</v>
      </c>
      <c r="S9" s="7" t="s">
        <v>128</v>
      </c>
      <c r="T9" s="7" t="s">
        <v>102</v>
      </c>
      <c r="U9" s="7" t="s">
        <v>116</v>
      </c>
      <c r="V9" s="7"/>
      <c r="W9" s="7" t="s">
        <v>153</v>
      </c>
      <c r="X9" s="7" t="s">
        <v>154</v>
      </c>
      <c r="Y9" s="7" t="s">
        <v>155</v>
      </c>
      <c r="Z9" s="7" t="s">
        <v>156</v>
      </c>
      <c r="AA9" s="7" t="s">
        <v>157</v>
      </c>
      <c r="AB9" s="7" t="s">
        <v>89</v>
      </c>
      <c r="AC9" s="7" t="s">
        <v>158</v>
      </c>
      <c r="AD9" s="7" t="s">
        <v>159</v>
      </c>
      <c r="AE9" s="9" t="n">
        <f aca="false">IF(LEFT(E9,2)="SF",IF(F9="",0,Weights!$B$2*MAX(0,MIN(1,(Weights!$B$9-F9)/(Weights!$B$9-Weights!$B$8)))),0)</f>
        <v>28</v>
      </c>
      <c r="AF9" s="9" t="n">
        <f aca="false">IF(N9="",5,Weights!$B$3*MAX(0,MIN(1,(Weights!$B$7-N9)/(Weights!$B$7-Weights!$B$6))))</f>
        <v>30</v>
      </c>
      <c r="AG9" s="9" t="n">
        <f aca="false">IF(P9="none",0,IF(P9="unknown",5,Weights!$B$4))</f>
        <v>15</v>
      </c>
      <c r="AH9" s="9" t="n">
        <f aca="false">IF(K9="",4,IF(AND(K9&gt;=Weights!$B$13,K9&lt;=Weights!$B$14),Weights!$B$5,IF(K9&gt;100,15,IF(K9&gt;=20,12,4))))</f>
        <v>15</v>
      </c>
      <c r="AI9" s="10" t="n">
        <f aca="false">IF(OR(Q9="taken",Q9="sold",Q9="ruled-out"),0,MIN(IF(AND(H9="tourist-hotel",P9="none"),Weights!$B$11,100),AE9+AF9+AG9+AH9)+IF(T9="yes",Weights!$B$10,0))</f>
        <v>88</v>
      </c>
      <c r="AJ9" s="7" t="s">
        <v>92</v>
      </c>
      <c r="AK9" s="7" t="s">
        <v>93</v>
      </c>
    </row>
    <row r="10" customFormat="false" ht="180.55" hidden="false" customHeight="false" outlineLevel="0" collapsed="false">
      <c r="A10" s="7" t="n">
        <f aca="false">RANK(AI10,$AI$2:$AI$70)</f>
        <v>7</v>
      </c>
      <c r="B10" s="7" t="s">
        <v>165</v>
      </c>
      <c r="C10" s="7" t="s">
        <v>166</v>
      </c>
      <c r="D10" s="7" t="s">
        <v>150</v>
      </c>
      <c r="E10" s="7" t="s">
        <v>127</v>
      </c>
      <c r="F10" s="7" t="n">
        <v>14</v>
      </c>
      <c r="G10" s="7" t="s">
        <v>77</v>
      </c>
      <c r="H10" s="7" t="s">
        <v>151</v>
      </c>
      <c r="I10" s="7" t="n">
        <v>50</v>
      </c>
      <c r="J10" s="7" t="n">
        <v>2</v>
      </c>
      <c r="K10" s="7" t="n">
        <f aca="false">IF(I10="","",I10*J10)</f>
        <v>100</v>
      </c>
      <c r="L10" s="8" t="n">
        <v>1100</v>
      </c>
      <c r="M10" s="8" t="n">
        <v>1500</v>
      </c>
      <c r="N10" s="8" t="n">
        <f aca="false">IF(L10="","",ROUND((L10+M10)/2/J10,0))</f>
        <v>650</v>
      </c>
      <c r="O10" s="8" t="n">
        <f aca="false">IF(N10="","",N10*Weights!$B$12)</f>
        <v>29250</v>
      </c>
      <c r="P10" s="7" t="s">
        <v>99</v>
      </c>
      <c r="Q10" s="7" t="s">
        <v>115</v>
      </c>
      <c r="R10" s="7" t="s">
        <v>81</v>
      </c>
      <c r="S10" s="7" t="s">
        <v>101</v>
      </c>
      <c r="T10" s="7" t="s">
        <v>102</v>
      </c>
      <c r="U10" s="7" t="s">
        <v>116</v>
      </c>
      <c r="V10" s="7"/>
      <c r="W10" s="7" t="s">
        <v>153</v>
      </c>
      <c r="X10" s="7" t="s">
        <v>154</v>
      </c>
      <c r="Y10" s="7" t="s">
        <v>155</v>
      </c>
      <c r="Z10" s="7" t="s">
        <v>156</v>
      </c>
      <c r="AA10" s="7" t="s">
        <v>157</v>
      </c>
      <c r="AB10" s="7" t="s">
        <v>89</v>
      </c>
      <c r="AC10" s="7" t="s">
        <v>158</v>
      </c>
      <c r="AD10" s="7" t="s">
        <v>159</v>
      </c>
      <c r="AE10" s="9" t="n">
        <f aca="false">IF(LEFT(E10,2)="SF",IF(F10="",0,Weights!$B$2*MAX(0,MIN(1,(Weights!$B$9-F10)/(Weights!$B$9-Weights!$B$8)))),0)</f>
        <v>31</v>
      </c>
      <c r="AF10" s="9" t="n">
        <f aca="false">IF(N10="",5,Weights!$B$3*MAX(0,MIN(1,(Weights!$B$7-N10)/(Weights!$B$7-Weights!$B$6))))</f>
        <v>30</v>
      </c>
      <c r="AG10" s="9" t="n">
        <f aca="false">IF(P10="none",0,IF(P10="unknown",5,Weights!$B$4))</f>
        <v>15</v>
      </c>
      <c r="AH10" s="9" t="n">
        <f aca="false">IF(K10="",4,IF(AND(K10&gt;=Weights!$B$13,K10&lt;=Weights!$B$14),Weights!$B$5,IF(K10&gt;100,15,IF(K10&gt;=20,12,4))))</f>
        <v>12</v>
      </c>
      <c r="AI10" s="10" t="n">
        <f aca="false">IF(OR(Q10="taken",Q10="sold",Q10="ruled-out"),0,MIN(IF(AND(H10="tourist-hotel",P10="none"),Weights!$B$11,100),AE10+AF10+AG10+AH10)+IF(T10="yes",Weights!$B$10,0))</f>
        <v>88</v>
      </c>
      <c r="AJ10" s="7" t="s">
        <v>92</v>
      </c>
      <c r="AK10" s="7" t="s">
        <v>93</v>
      </c>
    </row>
    <row r="11" customFormat="false" ht="91" hidden="false" customHeight="false" outlineLevel="0" collapsed="false">
      <c r="A11" s="7" t="n">
        <f aca="false">RANK(AI11,$AI$2:$AI$70)</f>
        <v>55</v>
      </c>
      <c r="B11" s="7" t="s">
        <v>167</v>
      </c>
      <c r="C11" s="7" t="s">
        <v>168</v>
      </c>
      <c r="D11" s="7" t="s">
        <v>169</v>
      </c>
      <c r="E11" s="7" t="s">
        <v>76</v>
      </c>
      <c r="F11" s="7" t="n">
        <v>55</v>
      </c>
      <c r="G11" s="7" t="s">
        <v>77</v>
      </c>
      <c r="H11" s="7" t="s">
        <v>78</v>
      </c>
      <c r="I11" s="7" t="n">
        <v>145</v>
      </c>
      <c r="J11" s="7" t="n">
        <v>1</v>
      </c>
      <c r="K11" s="7" t="n">
        <f aca="false">IF(I11="","",I11*J11)</f>
        <v>145</v>
      </c>
      <c r="L11" s="8" t="n">
        <v>1200</v>
      </c>
      <c r="M11" s="8" t="n">
        <v>1800</v>
      </c>
      <c r="N11" s="8" t="n">
        <f aca="false">IF(L11="","",ROUND((L11+M11)/2/J11,0))</f>
        <v>1500</v>
      </c>
      <c r="O11" s="8" t="n">
        <f aca="false">IF(N11="","",N11*Weights!$B$12)</f>
        <v>67500</v>
      </c>
      <c r="P11" s="7" t="s">
        <v>79</v>
      </c>
      <c r="Q11" s="7" t="s">
        <v>140</v>
      </c>
      <c r="R11" s="7" t="s">
        <v>81</v>
      </c>
      <c r="S11" s="7" t="s">
        <v>82</v>
      </c>
      <c r="T11" s="7" t="s">
        <v>83</v>
      </c>
      <c r="U11" s="7"/>
      <c r="V11" s="7"/>
      <c r="W11" s="7" t="s">
        <v>170</v>
      </c>
      <c r="X11" s="7" t="s">
        <v>171</v>
      </c>
      <c r="Y11" s="7" t="s">
        <v>172</v>
      </c>
      <c r="Z11" s="7" t="s">
        <v>173</v>
      </c>
      <c r="AA11" s="7" t="s">
        <v>174</v>
      </c>
      <c r="AB11" s="7" t="s">
        <v>89</v>
      </c>
      <c r="AC11" s="7" t="s">
        <v>175</v>
      </c>
      <c r="AD11" s="7" t="s">
        <v>176</v>
      </c>
      <c r="AE11" s="9" t="n">
        <f aca="false">IF(LEFT(E11,2)="SF",IF(F11="",0,Weights!$B$2*MAX(0,MIN(1,(Weights!$B$9-F11)/(Weights!$B$9-Weights!$B$8)))),0)</f>
        <v>0</v>
      </c>
      <c r="AF11" s="9" t="n">
        <f aca="false">IF(N11="",5,Weights!$B$3*MAX(0,MIN(1,(Weights!$B$7-N11)/(Weights!$B$7-Weights!$B$6))))</f>
        <v>17.5</v>
      </c>
      <c r="AG11" s="9" t="n">
        <f aca="false">IF(P11="none",0,IF(P11="unknown",5,Weights!$B$4))</f>
        <v>0</v>
      </c>
      <c r="AH11" s="9" t="n">
        <f aca="false">IF(K11="",4,IF(AND(K11&gt;=Weights!$B$13,K11&lt;=Weights!$B$14),Weights!$B$5,IF(K11&gt;100,15,IF(K11&gt;=20,12,4))))</f>
        <v>15</v>
      </c>
      <c r="AI11" s="10" t="n">
        <f aca="false">IF(OR(Q11="taken",Q11="sold",Q11="ruled-out"),0,MIN(IF(AND(H11="tourist-hotel",P11="none"),Weights!$B$11,100),AE11+AF11+AG11+AH11)+IF(T11="yes",Weights!$B$10,0))</f>
        <v>32.5</v>
      </c>
      <c r="AJ11" s="7" t="s">
        <v>92</v>
      </c>
      <c r="AK11" s="7" t="s">
        <v>93</v>
      </c>
    </row>
    <row r="12" customFormat="false" ht="91" hidden="false" customHeight="false" outlineLevel="0" collapsed="false">
      <c r="A12" s="7" t="n">
        <f aca="false">RANK(AI12,$AI$2:$AI$70)</f>
        <v>26</v>
      </c>
      <c r="B12" s="7" t="s">
        <v>177</v>
      </c>
      <c r="C12" s="7" t="s">
        <v>178</v>
      </c>
      <c r="D12" s="7" t="s">
        <v>75</v>
      </c>
      <c r="E12" s="7" t="s">
        <v>76</v>
      </c>
      <c r="F12" s="7" t="n">
        <v>40</v>
      </c>
      <c r="G12" s="7" t="s">
        <v>77</v>
      </c>
      <c r="H12" s="7" t="s">
        <v>179</v>
      </c>
      <c r="I12" s="7" t="n">
        <v>60</v>
      </c>
      <c r="J12" s="7" t="n">
        <v>1</v>
      </c>
      <c r="K12" s="7" t="n">
        <f aca="false">IF(I12="","",I12*J12)</f>
        <v>60</v>
      </c>
      <c r="L12" s="8" t="n">
        <v>1400</v>
      </c>
      <c r="M12" s="8" t="n">
        <v>1660</v>
      </c>
      <c r="N12" s="8" t="n">
        <f aca="false">IF(L12="","",ROUND((L12+M12)/2/J12,0))</f>
        <v>1530</v>
      </c>
      <c r="O12" s="8" t="n">
        <f aca="false">IF(N12="","",N12*Weights!$B$12)</f>
        <v>68850</v>
      </c>
      <c r="P12" s="7" t="s">
        <v>114</v>
      </c>
      <c r="Q12" s="7" t="s">
        <v>115</v>
      </c>
      <c r="R12" s="7" t="s">
        <v>81</v>
      </c>
      <c r="S12" s="7" t="s">
        <v>180</v>
      </c>
      <c r="T12" s="7" t="s">
        <v>116</v>
      </c>
      <c r="U12" s="7"/>
      <c r="V12" s="7"/>
      <c r="W12" s="7" t="s">
        <v>181</v>
      </c>
      <c r="X12" s="7" t="s">
        <v>182</v>
      </c>
      <c r="Y12" s="7" t="s">
        <v>183</v>
      </c>
      <c r="Z12" s="7" t="s">
        <v>184</v>
      </c>
      <c r="AA12" s="7" t="s">
        <v>185</v>
      </c>
      <c r="AB12" s="7" t="s">
        <v>89</v>
      </c>
      <c r="AC12" s="7" t="s">
        <v>186</v>
      </c>
      <c r="AD12" s="7" t="s">
        <v>187</v>
      </c>
      <c r="AE12" s="9" t="n">
        <f aca="false">IF(LEFT(E12,2)="SF",IF(F12="",0,Weights!$B$2*MAX(0,MIN(1,(Weights!$B$9-F12)/(Weights!$B$9-Weights!$B$8)))),0)</f>
        <v>0</v>
      </c>
      <c r="AF12" s="9" t="n">
        <f aca="false">IF(N12="",5,Weights!$B$3*MAX(0,MIN(1,(Weights!$B$7-N12)/(Weights!$B$7-Weights!$B$6))))</f>
        <v>16.75</v>
      </c>
      <c r="AG12" s="9" t="n">
        <f aca="false">IF(P12="none",0,IF(P12="unknown",5,Weights!$B$4))</f>
        <v>15</v>
      </c>
      <c r="AH12" s="9" t="n">
        <f aca="false">IF(K12="",4,IF(AND(K12&gt;=Weights!$B$13,K12&lt;=Weights!$B$14),Weights!$B$5,IF(K12&gt;100,15,IF(K12&gt;=20,12,4))))</f>
        <v>20</v>
      </c>
      <c r="AI12" s="10" t="n">
        <f aca="false">IF(OR(Q12="taken",Q12="sold",Q12="ruled-out"),0,MIN(IF(AND(H12="tourist-hotel",P12="none"),Weights!$B$11,100),AE12+AF12+AG12+AH12)+IF(T12="yes",Weights!$B$10,0))</f>
        <v>56.75</v>
      </c>
      <c r="AJ12" s="7" t="s">
        <v>92</v>
      </c>
      <c r="AK12" s="7" t="s">
        <v>93</v>
      </c>
    </row>
    <row r="13" customFormat="false" ht="46.25" hidden="false" customHeight="false" outlineLevel="0" collapsed="false">
      <c r="A13" s="7" t="n">
        <f aca="false">RANK(AI13,$AI$2:$AI$70)</f>
        <v>29</v>
      </c>
      <c r="B13" s="7" t="s">
        <v>188</v>
      </c>
      <c r="C13" s="7" t="s">
        <v>189</v>
      </c>
      <c r="D13" s="7" t="s">
        <v>112</v>
      </c>
      <c r="E13" s="7" t="s">
        <v>76</v>
      </c>
      <c r="F13" s="7" t="n">
        <v>45</v>
      </c>
      <c r="G13" s="7" t="s">
        <v>77</v>
      </c>
      <c r="H13" s="7" t="s">
        <v>113</v>
      </c>
      <c r="I13" s="7" t="n">
        <v>74</v>
      </c>
      <c r="J13" s="7" t="n">
        <v>2</v>
      </c>
      <c r="K13" s="7" t="n">
        <f aca="false">IF(I13="","",I13*J13)</f>
        <v>148</v>
      </c>
      <c r="L13" s="8" t="n">
        <v>2200</v>
      </c>
      <c r="M13" s="8" t="n">
        <v>2800</v>
      </c>
      <c r="N13" s="8" t="n">
        <f aca="false">IF(L13="","",ROUND((L13+M13)/2/J13,0))</f>
        <v>1250</v>
      </c>
      <c r="O13" s="8" t="n">
        <f aca="false">IF(N13="","",N13*Weights!$B$12)</f>
        <v>56250</v>
      </c>
      <c r="P13" s="7" t="s">
        <v>114</v>
      </c>
      <c r="Q13" s="7" t="s">
        <v>100</v>
      </c>
      <c r="R13" s="7" t="s">
        <v>190</v>
      </c>
      <c r="S13" s="7" t="s">
        <v>82</v>
      </c>
      <c r="T13" s="7" t="s">
        <v>83</v>
      </c>
      <c r="U13" s="7"/>
      <c r="V13" s="7"/>
      <c r="W13" s="7" t="s">
        <v>191</v>
      </c>
      <c r="X13" s="7" t="s">
        <v>192</v>
      </c>
      <c r="Y13" s="7" t="s">
        <v>193</v>
      </c>
      <c r="Z13" s="7" t="s">
        <v>194</v>
      </c>
      <c r="AA13" s="7" t="s">
        <v>195</v>
      </c>
      <c r="AB13" s="7" t="s">
        <v>196</v>
      </c>
      <c r="AC13" s="7" t="s">
        <v>197</v>
      </c>
      <c r="AD13" s="7" t="s">
        <v>198</v>
      </c>
      <c r="AE13" s="9" t="n">
        <f aca="false">IF(LEFT(E13,2)="SF",IF(F13="",0,Weights!$B$2*MAX(0,MIN(1,(Weights!$B$9-F13)/(Weights!$B$9-Weights!$B$8)))),0)</f>
        <v>0</v>
      </c>
      <c r="AF13" s="9" t="n">
        <f aca="false">IF(N13="",5,Weights!$B$3*MAX(0,MIN(1,(Weights!$B$7-N13)/(Weights!$B$7-Weights!$B$6))))</f>
        <v>23.75</v>
      </c>
      <c r="AG13" s="9" t="n">
        <f aca="false">IF(P13="none",0,IF(P13="unknown",5,Weights!$B$4))</f>
        <v>15</v>
      </c>
      <c r="AH13" s="9" t="n">
        <f aca="false">IF(K13="",4,IF(AND(K13&gt;=Weights!$B$13,K13&lt;=Weights!$B$14),Weights!$B$5,IF(K13&gt;100,15,IF(K13&gt;=20,12,4))))</f>
        <v>15</v>
      </c>
      <c r="AI13" s="10" t="n">
        <f aca="false">IF(OR(Q13="taken",Q13="sold",Q13="ruled-out"),0,MIN(IF(AND(H13="tourist-hotel",P13="none"),Weights!$B$11,100),AE13+AF13+AG13+AH13)+IF(T13="yes",Weights!$B$10,0))</f>
        <v>53.75</v>
      </c>
      <c r="AJ13" s="7" t="s">
        <v>92</v>
      </c>
      <c r="AK13" s="7" t="s">
        <v>93</v>
      </c>
    </row>
    <row r="14" customFormat="false" ht="135.8" hidden="false" customHeight="false" outlineLevel="0" collapsed="false">
      <c r="A14" s="7" t="n">
        <f aca="false">RANK(AI14,$AI$2:$AI$70)</f>
        <v>31</v>
      </c>
      <c r="B14" s="7" t="s">
        <v>199</v>
      </c>
      <c r="C14" s="7" t="s">
        <v>200</v>
      </c>
      <c r="D14" s="7" t="s">
        <v>75</v>
      </c>
      <c r="E14" s="7" t="s">
        <v>76</v>
      </c>
      <c r="F14" s="7" t="n">
        <v>45</v>
      </c>
      <c r="G14" s="7" t="s">
        <v>77</v>
      </c>
      <c r="H14" s="7" t="s">
        <v>113</v>
      </c>
      <c r="I14" s="7" t="n">
        <v>175</v>
      </c>
      <c r="J14" s="7" t="n">
        <v>2</v>
      </c>
      <c r="K14" s="7" t="n">
        <f aca="false">IF(I14="","",I14*J14)</f>
        <v>350</v>
      </c>
      <c r="L14" s="8" t="n">
        <v>2200</v>
      </c>
      <c r="M14" s="8" t="n">
        <v>3000</v>
      </c>
      <c r="N14" s="8" t="n">
        <f aca="false">IF(L14="","",ROUND((L14+M14)/2/J14,0))</f>
        <v>1300</v>
      </c>
      <c r="O14" s="8" t="n">
        <f aca="false">IF(N14="","",N14*Weights!$B$12)</f>
        <v>58500</v>
      </c>
      <c r="P14" s="7" t="s">
        <v>114</v>
      </c>
      <c r="Q14" s="7" t="s">
        <v>80</v>
      </c>
      <c r="R14" s="7" t="s">
        <v>190</v>
      </c>
      <c r="S14" s="7" t="s">
        <v>82</v>
      </c>
      <c r="T14" s="7" t="s">
        <v>83</v>
      </c>
      <c r="U14" s="7"/>
      <c r="V14" s="7"/>
      <c r="W14" s="7" t="s">
        <v>201</v>
      </c>
      <c r="X14" s="7" t="s">
        <v>202</v>
      </c>
      <c r="Y14" s="7" t="s">
        <v>203</v>
      </c>
      <c r="Z14" s="7" t="s">
        <v>204</v>
      </c>
      <c r="AA14" s="7" t="s">
        <v>205</v>
      </c>
      <c r="AB14" s="7" t="s">
        <v>196</v>
      </c>
      <c r="AC14" s="7" t="s">
        <v>206</v>
      </c>
      <c r="AD14" s="7" t="s">
        <v>207</v>
      </c>
      <c r="AE14" s="9" t="n">
        <f aca="false">IF(LEFT(E14,2)="SF",IF(F14="",0,Weights!$B$2*MAX(0,MIN(1,(Weights!$B$9-F14)/(Weights!$B$9-Weights!$B$8)))),0)</f>
        <v>0</v>
      </c>
      <c r="AF14" s="9" t="n">
        <f aca="false">IF(N14="",5,Weights!$B$3*MAX(0,MIN(1,(Weights!$B$7-N14)/(Weights!$B$7-Weights!$B$6))))</f>
        <v>22.5</v>
      </c>
      <c r="AG14" s="9" t="n">
        <f aca="false">IF(P14="none",0,IF(P14="unknown",5,Weights!$B$4))</f>
        <v>15</v>
      </c>
      <c r="AH14" s="9" t="n">
        <f aca="false">IF(K14="",4,IF(AND(K14&gt;=Weights!$B$13,K14&lt;=Weights!$B$14),Weights!$B$5,IF(K14&gt;100,15,IF(K14&gt;=20,12,4))))</f>
        <v>15</v>
      </c>
      <c r="AI14" s="10" t="n">
        <f aca="false">IF(OR(Q14="taken",Q14="sold",Q14="ruled-out"),0,MIN(IF(AND(H14="tourist-hotel",P14="none"),Weights!$B$11,100),AE14+AF14+AG14+AH14)+IF(T14="yes",Weights!$B$10,0))</f>
        <v>52.5</v>
      </c>
      <c r="AJ14" s="7" t="s">
        <v>92</v>
      </c>
      <c r="AK14" s="7" t="s">
        <v>93</v>
      </c>
    </row>
    <row r="15" customFormat="false" ht="91" hidden="false" customHeight="false" outlineLevel="0" collapsed="false">
      <c r="A15" s="7" t="n">
        <f aca="false">RANK(AI15,$AI$2:$AI$70)</f>
        <v>68</v>
      </c>
      <c r="B15" s="7" t="s">
        <v>208</v>
      </c>
      <c r="C15" s="7" t="s">
        <v>209</v>
      </c>
      <c r="D15" s="7" t="s">
        <v>210</v>
      </c>
      <c r="E15" s="7" t="s">
        <v>76</v>
      </c>
      <c r="F15" s="7" t="n">
        <v>40</v>
      </c>
      <c r="G15" s="7" t="s">
        <v>77</v>
      </c>
      <c r="H15" s="7" t="s">
        <v>179</v>
      </c>
      <c r="I15" s="7" t="n">
        <v>102</v>
      </c>
      <c r="J15" s="7" t="n">
        <v>1</v>
      </c>
      <c r="K15" s="7" t="n">
        <f aca="false">IF(I15="","",I15*J15)</f>
        <v>102</v>
      </c>
      <c r="L15" s="8" t="n">
        <v>1300</v>
      </c>
      <c r="M15" s="8" t="n">
        <v>1800</v>
      </c>
      <c r="N15" s="8" t="n">
        <f aca="false">IF(L15="","",ROUND((L15+M15)/2/J15,0))</f>
        <v>1550</v>
      </c>
      <c r="O15" s="8" t="n">
        <f aca="false">IF(N15="","",N15*Weights!$B$12)</f>
        <v>69750</v>
      </c>
      <c r="P15" s="7" t="s">
        <v>99</v>
      </c>
      <c r="Q15" s="7" t="s">
        <v>211</v>
      </c>
      <c r="R15" s="7" t="s">
        <v>190</v>
      </c>
      <c r="S15" s="7"/>
      <c r="T15" s="7" t="s">
        <v>83</v>
      </c>
      <c r="U15" s="7"/>
      <c r="V15" s="7"/>
      <c r="W15" s="7" t="s">
        <v>212</v>
      </c>
      <c r="X15" s="7" t="s">
        <v>213</v>
      </c>
      <c r="Y15" s="7"/>
      <c r="Z15" s="7"/>
      <c r="AA15" s="7"/>
      <c r="AB15" s="7"/>
      <c r="AC15" s="7" t="s">
        <v>214</v>
      </c>
      <c r="AD15" s="7" t="s">
        <v>215</v>
      </c>
      <c r="AE15" s="9" t="n">
        <f aca="false">IF(LEFT(E15,2)="SF",IF(F15="",0,Weights!$B$2*MAX(0,MIN(1,(Weights!$B$9-F15)/(Weights!$B$9-Weights!$B$8)))),0)</f>
        <v>0</v>
      </c>
      <c r="AF15" s="9" t="n">
        <f aca="false">IF(N15="",5,Weights!$B$3*MAX(0,MIN(1,(Weights!$B$7-N15)/(Weights!$B$7-Weights!$B$6))))</f>
        <v>16.25</v>
      </c>
      <c r="AG15" s="9" t="n">
        <f aca="false">IF(P15="none",0,IF(P15="unknown",5,Weights!$B$4))</f>
        <v>15</v>
      </c>
      <c r="AH15" s="9" t="n">
        <f aca="false">IF(K15="",4,IF(AND(K15&gt;=Weights!$B$13,K15&lt;=Weights!$B$14),Weights!$B$5,IF(K15&gt;100,15,IF(K15&gt;=20,12,4))))</f>
        <v>15</v>
      </c>
      <c r="AI15" s="10" t="n">
        <f aca="false">IF(OR(Q15="taken",Q15="sold",Q15="ruled-out"),0,MIN(IF(AND(H15="tourist-hotel",P15="none"),Weights!$B$11,100),AE15+AF15+AG15+AH15)+IF(T15="yes",Weights!$B$10,0))</f>
        <v>0</v>
      </c>
      <c r="AJ15" s="7" t="s">
        <v>92</v>
      </c>
      <c r="AK15" s="7" t="s">
        <v>93</v>
      </c>
    </row>
    <row r="16" customFormat="false" ht="79.85" hidden="false" customHeight="false" outlineLevel="0" collapsed="false">
      <c r="A16" s="7" t="n">
        <f aca="false">RANK(AI16,$AI$2:$AI$70)</f>
        <v>49</v>
      </c>
      <c r="B16" s="7" t="s">
        <v>216</v>
      </c>
      <c r="C16" s="7" t="s">
        <v>217</v>
      </c>
      <c r="D16" s="7" t="s">
        <v>112</v>
      </c>
      <c r="E16" s="7" t="s">
        <v>76</v>
      </c>
      <c r="F16" s="7" t="n">
        <v>45</v>
      </c>
      <c r="G16" s="7" t="s">
        <v>77</v>
      </c>
      <c r="H16" s="7" t="s">
        <v>78</v>
      </c>
      <c r="I16" s="7" t="n">
        <v>276</v>
      </c>
      <c r="J16" s="7" t="n">
        <v>1</v>
      </c>
      <c r="K16" s="7" t="n">
        <f aca="false">IF(I16="","",I16*J16)</f>
        <v>276</v>
      </c>
      <c r="L16" s="8" t="n">
        <v>1500</v>
      </c>
      <c r="M16" s="8" t="n">
        <v>2200</v>
      </c>
      <c r="N16" s="8" t="n">
        <f aca="false">IF(L16="","",ROUND((L16+M16)/2/J16,0))</f>
        <v>1850</v>
      </c>
      <c r="O16" s="8" t="n">
        <f aca="false">IF(N16="","",N16*Weights!$B$12)</f>
        <v>83250</v>
      </c>
      <c r="P16" s="7" t="s">
        <v>114</v>
      </c>
      <c r="Q16" s="7" t="s">
        <v>80</v>
      </c>
      <c r="R16" s="7" t="s">
        <v>190</v>
      </c>
      <c r="S16" s="7" t="s">
        <v>82</v>
      </c>
      <c r="T16" s="7" t="s">
        <v>83</v>
      </c>
      <c r="U16" s="7"/>
      <c r="V16" s="7"/>
      <c r="W16" s="7" t="s">
        <v>218</v>
      </c>
      <c r="X16" s="7" t="s">
        <v>219</v>
      </c>
      <c r="Y16" s="7"/>
      <c r="Z16" s="7"/>
      <c r="AA16" s="7"/>
      <c r="AB16" s="7"/>
      <c r="AC16" s="7" t="s">
        <v>220</v>
      </c>
      <c r="AD16" s="7" t="s">
        <v>221</v>
      </c>
      <c r="AE16" s="9" t="n">
        <f aca="false">IF(LEFT(E16,2)="SF",IF(F16="",0,Weights!$B$2*MAX(0,MIN(1,(Weights!$B$9-F16)/(Weights!$B$9-Weights!$B$8)))),0)</f>
        <v>0</v>
      </c>
      <c r="AF16" s="9" t="n">
        <f aca="false">IF(N16="",5,Weights!$B$3*MAX(0,MIN(1,(Weights!$B$7-N16)/(Weights!$B$7-Weights!$B$6))))</f>
        <v>8.75</v>
      </c>
      <c r="AG16" s="9" t="n">
        <f aca="false">IF(P16="none",0,IF(P16="unknown",5,Weights!$B$4))</f>
        <v>15</v>
      </c>
      <c r="AH16" s="9" t="n">
        <f aca="false">IF(K16="",4,IF(AND(K16&gt;=Weights!$B$13,K16&lt;=Weights!$B$14),Weights!$B$5,IF(K16&gt;100,15,IF(K16&gt;=20,12,4))))</f>
        <v>15</v>
      </c>
      <c r="AI16" s="10" t="n">
        <f aca="false">IF(OR(Q16="taken",Q16="sold",Q16="ruled-out"),0,MIN(IF(AND(H16="tourist-hotel",P16="none"),Weights!$B$11,100),AE16+AF16+AG16+AH16)+IF(T16="yes",Weights!$B$10,0))</f>
        <v>38.75</v>
      </c>
      <c r="AJ16" s="7" t="s">
        <v>92</v>
      </c>
      <c r="AK16" s="7" t="s">
        <v>93</v>
      </c>
    </row>
    <row r="17" customFormat="false" ht="113.4" hidden="false" customHeight="false" outlineLevel="0" collapsed="false">
      <c r="A17" s="7" t="n">
        <f aca="false">RANK(AI17,$AI$2:$AI$70)</f>
        <v>55</v>
      </c>
      <c r="B17" s="7" t="s">
        <v>222</v>
      </c>
      <c r="C17" s="7" t="s">
        <v>223</v>
      </c>
      <c r="D17" s="7" t="s">
        <v>112</v>
      </c>
      <c r="E17" s="7" t="s">
        <v>76</v>
      </c>
      <c r="F17" s="7" t="n">
        <v>45</v>
      </c>
      <c r="G17" s="7" t="s">
        <v>77</v>
      </c>
      <c r="H17" s="7" t="s">
        <v>78</v>
      </c>
      <c r="I17" s="7" t="n">
        <v>160</v>
      </c>
      <c r="J17" s="7" t="n">
        <v>1</v>
      </c>
      <c r="K17" s="7" t="n">
        <f aca="false">IF(I17="","",I17*J17)</f>
        <v>160</v>
      </c>
      <c r="L17" s="8" t="n">
        <v>1200</v>
      </c>
      <c r="M17" s="8" t="n">
        <v>1800</v>
      </c>
      <c r="N17" s="8" t="n">
        <f aca="false">IF(L17="","",ROUND((L17+M17)/2/J17,0))</f>
        <v>1500</v>
      </c>
      <c r="O17" s="8" t="n">
        <f aca="false">IF(N17="","",N17*Weights!$B$12)</f>
        <v>67500</v>
      </c>
      <c r="P17" s="7" t="s">
        <v>79</v>
      </c>
      <c r="Q17" s="7" t="s">
        <v>140</v>
      </c>
      <c r="R17" s="7" t="s">
        <v>190</v>
      </c>
      <c r="S17" s="7" t="s">
        <v>82</v>
      </c>
      <c r="T17" s="7" t="s">
        <v>83</v>
      </c>
      <c r="U17" s="7"/>
      <c r="V17" s="7"/>
      <c r="W17" s="7" t="s">
        <v>224</v>
      </c>
      <c r="X17" s="7" t="s">
        <v>225</v>
      </c>
      <c r="Y17" s="7" t="s">
        <v>226</v>
      </c>
      <c r="Z17" s="7" t="s">
        <v>227</v>
      </c>
      <c r="AA17" s="7" t="s">
        <v>228</v>
      </c>
      <c r="AB17" s="7" t="s">
        <v>196</v>
      </c>
      <c r="AC17" s="7" t="s">
        <v>229</v>
      </c>
      <c r="AD17" s="7" t="s">
        <v>230</v>
      </c>
      <c r="AE17" s="9" t="n">
        <f aca="false">IF(LEFT(E17,2)="SF",IF(F17="",0,Weights!$B$2*MAX(0,MIN(1,(Weights!$B$9-F17)/(Weights!$B$9-Weights!$B$8)))),0)</f>
        <v>0</v>
      </c>
      <c r="AF17" s="9" t="n">
        <f aca="false">IF(N17="",5,Weights!$B$3*MAX(0,MIN(1,(Weights!$B$7-N17)/(Weights!$B$7-Weights!$B$6))))</f>
        <v>17.5</v>
      </c>
      <c r="AG17" s="9" t="n">
        <f aca="false">IF(P17="none",0,IF(P17="unknown",5,Weights!$B$4))</f>
        <v>0</v>
      </c>
      <c r="AH17" s="9" t="n">
        <f aca="false">IF(K17="",4,IF(AND(K17&gt;=Weights!$B$13,K17&lt;=Weights!$B$14),Weights!$B$5,IF(K17&gt;100,15,IF(K17&gt;=20,12,4))))</f>
        <v>15</v>
      </c>
      <c r="AI17" s="10" t="n">
        <f aca="false">IF(OR(Q17="taken",Q17="sold",Q17="ruled-out"),0,MIN(IF(AND(H17="tourist-hotel",P17="none"),Weights!$B$11,100),AE17+AF17+AG17+AH17)+IF(T17="yes",Weights!$B$10,0))</f>
        <v>32.5</v>
      </c>
      <c r="AJ17" s="7" t="s">
        <v>92</v>
      </c>
      <c r="AK17" s="7" t="s">
        <v>93</v>
      </c>
    </row>
    <row r="18" customFormat="false" ht="113.4" hidden="false" customHeight="false" outlineLevel="0" collapsed="false">
      <c r="A18" s="7" t="n">
        <f aca="false">RANK(AI18,$AI$2:$AI$70)</f>
        <v>38</v>
      </c>
      <c r="B18" s="7" t="s">
        <v>231</v>
      </c>
      <c r="C18" s="7" t="s">
        <v>232</v>
      </c>
      <c r="D18" s="7" t="s">
        <v>150</v>
      </c>
      <c r="E18" s="7" t="s">
        <v>127</v>
      </c>
      <c r="F18" s="7" t="n">
        <v>20</v>
      </c>
      <c r="G18" s="7" t="s">
        <v>77</v>
      </c>
      <c r="H18" s="7" t="s">
        <v>78</v>
      </c>
      <c r="I18" s="7" t="n">
        <v>60</v>
      </c>
      <c r="J18" s="7" t="n">
        <v>1</v>
      </c>
      <c r="K18" s="7" t="n">
        <f aca="false">IF(I18="","",I18*J18)</f>
        <v>60</v>
      </c>
      <c r="L18" s="8" t="n">
        <v>1800</v>
      </c>
      <c r="M18" s="8" t="n">
        <v>2200</v>
      </c>
      <c r="N18" s="8" t="n">
        <f aca="false">IF(L18="","",ROUND((L18+M18)/2/J18,0))</f>
        <v>2000</v>
      </c>
      <c r="O18" s="8" t="n">
        <f aca="false">IF(N18="","",N18*Weights!$B$12)</f>
        <v>90000</v>
      </c>
      <c r="P18" s="7" t="s">
        <v>79</v>
      </c>
      <c r="Q18" s="7" t="s">
        <v>80</v>
      </c>
      <c r="R18" s="7" t="s">
        <v>190</v>
      </c>
      <c r="S18" s="7" t="s">
        <v>101</v>
      </c>
      <c r="T18" s="7" t="s">
        <v>83</v>
      </c>
      <c r="U18" s="7"/>
      <c r="V18" s="7"/>
      <c r="W18" s="7" t="s">
        <v>233</v>
      </c>
      <c r="X18" s="7" t="s">
        <v>234</v>
      </c>
      <c r="Y18" s="7" t="s">
        <v>235</v>
      </c>
      <c r="Z18" s="7" t="s">
        <v>236</v>
      </c>
      <c r="AA18" s="7" t="s">
        <v>237</v>
      </c>
      <c r="AB18" s="7" t="s">
        <v>196</v>
      </c>
      <c r="AC18" s="7" t="s">
        <v>238</v>
      </c>
      <c r="AD18" s="7" t="s">
        <v>239</v>
      </c>
      <c r="AE18" s="9" t="n">
        <f aca="false">IF(LEFT(E18,2)="SF",IF(F18="",0,Weights!$B$2*MAX(0,MIN(1,(Weights!$B$9-F18)/(Weights!$B$9-Weights!$B$8)))),0)</f>
        <v>25</v>
      </c>
      <c r="AF18" s="9" t="n">
        <f aca="false">IF(N18="",5,Weights!$B$3*MAX(0,MIN(1,(Weights!$B$7-N18)/(Weights!$B$7-Weights!$B$6))))</f>
        <v>5</v>
      </c>
      <c r="AG18" s="9" t="n">
        <f aca="false">IF(P18="none",0,IF(P18="unknown",5,Weights!$B$4))</f>
        <v>0</v>
      </c>
      <c r="AH18" s="9" t="n">
        <f aca="false">IF(K18="",4,IF(AND(K18&gt;=Weights!$B$13,K18&lt;=Weights!$B$14),Weights!$B$5,IF(K18&gt;100,15,IF(K18&gt;=20,12,4))))</f>
        <v>20</v>
      </c>
      <c r="AI18" s="10" t="n">
        <f aca="false">IF(OR(Q18="taken",Q18="sold",Q18="ruled-out"),0,MIN(IF(AND(H18="tourist-hotel",P18="none"),Weights!$B$11,100),AE18+AF18+AG18+AH18)+IF(T18="yes",Weights!$B$10,0))</f>
        <v>40</v>
      </c>
      <c r="AJ18" s="7" t="s">
        <v>92</v>
      </c>
      <c r="AK18" s="7" t="s">
        <v>93</v>
      </c>
    </row>
    <row r="19" customFormat="false" ht="91" hidden="false" customHeight="false" outlineLevel="0" collapsed="false">
      <c r="A19" s="7" t="n">
        <f aca="false">RANK(AI19,$AI$2:$AI$70)</f>
        <v>33</v>
      </c>
      <c r="B19" s="7" t="s">
        <v>240</v>
      </c>
      <c r="C19" s="7" t="s">
        <v>241</v>
      </c>
      <c r="D19" s="7" t="s">
        <v>242</v>
      </c>
      <c r="E19" s="7" t="s">
        <v>97</v>
      </c>
      <c r="F19" s="7" t="n">
        <v>50</v>
      </c>
      <c r="G19" s="7" t="s">
        <v>77</v>
      </c>
      <c r="H19" s="7" t="s">
        <v>113</v>
      </c>
      <c r="I19" s="7" t="n">
        <v>60</v>
      </c>
      <c r="J19" s="7" t="n">
        <v>2</v>
      </c>
      <c r="K19" s="7" t="n">
        <f aca="false">IF(I19="","",I19*J19)</f>
        <v>120</v>
      </c>
      <c r="L19" s="8" t="n">
        <v>3000</v>
      </c>
      <c r="M19" s="8" t="n">
        <v>3000</v>
      </c>
      <c r="N19" s="8" t="n">
        <f aca="false">IF(L19="","",ROUND((L19+M19)/2/J19,0))</f>
        <v>1500</v>
      </c>
      <c r="O19" s="8" t="n">
        <f aca="false">IF(N19="","",N19*Weights!$B$12)</f>
        <v>67500</v>
      </c>
      <c r="P19" s="7" t="s">
        <v>114</v>
      </c>
      <c r="Q19" s="7" t="s">
        <v>80</v>
      </c>
      <c r="R19" s="7" t="s">
        <v>190</v>
      </c>
      <c r="S19" s="7" t="s">
        <v>82</v>
      </c>
      <c r="T19" s="7" t="s">
        <v>102</v>
      </c>
      <c r="U19" s="7"/>
      <c r="V19" s="7"/>
      <c r="W19" s="7" t="s">
        <v>243</v>
      </c>
      <c r="X19" s="7" t="s">
        <v>244</v>
      </c>
      <c r="Y19" s="7" t="s">
        <v>245</v>
      </c>
      <c r="Z19" s="7" t="s">
        <v>246</v>
      </c>
      <c r="AA19" s="7" t="s">
        <v>247</v>
      </c>
      <c r="AB19" s="7" t="s">
        <v>196</v>
      </c>
      <c r="AC19" s="7" t="s">
        <v>248</v>
      </c>
      <c r="AD19" s="7" t="s">
        <v>249</v>
      </c>
      <c r="AE19" s="9" t="n">
        <f aca="false">IF(LEFT(E19,2)="SF",IF(F19="",0,Weights!$B$2*MAX(0,MIN(1,(Weights!$B$9-F19)/(Weights!$B$9-Weights!$B$8)))),0)</f>
        <v>0</v>
      </c>
      <c r="AF19" s="9" t="n">
        <f aca="false">IF(N19="",5,Weights!$B$3*MAX(0,MIN(1,(Weights!$B$7-N19)/(Weights!$B$7-Weights!$B$6))))</f>
        <v>17.5</v>
      </c>
      <c r="AG19" s="9" t="n">
        <f aca="false">IF(P19="none",0,IF(P19="unknown",5,Weights!$B$4))</f>
        <v>15</v>
      </c>
      <c r="AH19" s="9" t="n">
        <f aca="false">IF(K19="",4,IF(AND(K19&gt;=Weights!$B$13,K19&lt;=Weights!$B$14),Weights!$B$5,IF(K19&gt;100,15,IF(K19&gt;=20,12,4))))</f>
        <v>15</v>
      </c>
      <c r="AI19" s="10" t="n">
        <f aca="false">IF(OR(Q19="taken",Q19="sold",Q19="ruled-out"),0,MIN(IF(AND(H19="tourist-hotel",P19="none"),Weights!$B$11,100),AE19+AF19+AG19+AH19)+IF(T19="yes",Weights!$B$10,0))</f>
        <v>47.5</v>
      </c>
      <c r="AJ19" s="7" t="s">
        <v>92</v>
      </c>
      <c r="AK19" s="7" t="s">
        <v>93</v>
      </c>
    </row>
    <row r="20" customFormat="false" ht="102.2" hidden="false" customHeight="false" outlineLevel="0" collapsed="false">
      <c r="A20" s="7" t="n">
        <f aca="false">RANK(AI20,$AI$2:$AI$70)</f>
        <v>6</v>
      </c>
      <c r="B20" s="7" t="s">
        <v>250</v>
      </c>
      <c r="C20" s="7" t="s">
        <v>251</v>
      </c>
      <c r="D20" s="7" t="s">
        <v>126</v>
      </c>
      <c r="E20" s="7" t="s">
        <v>127</v>
      </c>
      <c r="F20" s="7" t="n">
        <v>3</v>
      </c>
      <c r="G20" s="7" t="s">
        <v>77</v>
      </c>
      <c r="H20" s="7" t="s">
        <v>98</v>
      </c>
      <c r="I20" s="7" t="n">
        <v>361</v>
      </c>
      <c r="J20" s="7" t="n">
        <v>1</v>
      </c>
      <c r="K20" s="7" t="n">
        <f aca="false">IF(I20="","",I20*J20)</f>
        <v>361</v>
      </c>
      <c r="L20" s="8" t="n">
        <v>1100</v>
      </c>
      <c r="M20" s="8" t="n">
        <v>1400</v>
      </c>
      <c r="N20" s="8" t="n">
        <f aca="false">IF(L20="","",ROUND((L20+M20)/2/J20,0))</f>
        <v>1250</v>
      </c>
      <c r="O20" s="8" t="n">
        <f aca="false">IF(N20="","",N20*Weights!$B$12)</f>
        <v>56250</v>
      </c>
      <c r="P20" s="7" t="s">
        <v>99</v>
      </c>
      <c r="Q20" s="7" t="s">
        <v>115</v>
      </c>
      <c r="R20" s="7" t="s">
        <v>190</v>
      </c>
      <c r="S20" s="7" t="s">
        <v>162</v>
      </c>
      <c r="T20" s="7" t="s">
        <v>102</v>
      </c>
      <c r="U20" s="7"/>
      <c r="V20" s="7"/>
      <c r="W20" s="7" t="s">
        <v>252</v>
      </c>
      <c r="X20" s="7" t="s">
        <v>253</v>
      </c>
      <c r="Y20" s="7" t="s">
        <v>254</v>
      </c>
      <c r="Z20" s="7" t="s">
        <v>255</v>
      </c>
      <c r="AA20" s="7" t="s">
        <v>256</v>
      </c>
      <c r="AB20" s="7" t="s">
        <v>196</v>
      </c>
      <c r="AC20" s="7" t="s">
        <v>257</v>
      </c>
      <c r="AD20" s="7" t="s">
        <v>258</v>
      </c>
      <c r="AE20" s="9" t="n">
        <f aca="false">IF(LEFT(E20,2)="SF",IF(F20="",0,Weights!$B$2*MAX(0,MIN(1,(Weights!$B$9-F20)/(Weights!$B$9-Weights!$B$8)))),0)</f>
        <v>35</v>
      </c>
      <c r="AF20" s="9" t="n">
        <f aca="false">IF(N20="",5,Weights!$B$3*MAX(0,MIN(1,(Weights!$B$7-N20)/(Weights!$B$7-Weights!$B$6))))</f>
        <v>23.75</v>
      </c>
      <c r="AG20" s="9" t="n">
        <f aca="false">IF(P20="none",0,IF(P20="unknown",5,Weights!$B$4))</f>
        <v>15</v>
      </c>
      <c r="AH20" s="9" t="n">
        <f aca="false">IF(K20="",4,IF(AND(K20&gt;=Weights!$B$13,K20&lt;=Weights!$B$14),Weights!$B$5,IF(K20&gt;100,15,IF(K20&gt;=20,12,4))))</f>
        <v>15</v>
      </c>
      <c r="AI20" s="10" t="n">
        <f aca="false">IF(OR(Q20="taken",Q20="sold",Q20="ruled-out"),0,MIN(IF(AND(H20="tourist-hotel",P20="none"),Weights!$B$11,100),AE20+AF20+AG20+AH20)+IF(T20="yes",Weights!$B$10,0))</f>
        <v>88.75</v>
      </c>
      <c r="AJ20" s="7" t="s">
        <v>92</v>
      </c>
      <c r="AK20" s="7" t="s">
        <v>93</v>
      </c>
    </row>
    <row r="21" customFormat="false" ht="91" hidden="false" customHeight="false" outlineLevel="0" collapsed="false">
      <c r="A21" s="7" t="n">
        <f aca="false">RANK(AI21,$AI$2:$AI$70)</f>
        <v>25</v>
      </c>
      <c r="B21" s="7" t="s">
        <v>259</v>
      </c>
      <c r="C21" s="7" t="s">
        <v>260</v>
      </c>
      <c r="D21" s="7" t="s">
        <v>126</v>
      </c>
      <c r="E21" s="7" t="s">
        <v>127</v>
      </c>
      <c r="F21" s="7" t="n">
        <v>10</v>
      </c>
      <c r="G21" s="7" t="s">
        <v>77</v>
      </c>
      <c r="H21" s="7" t="s">
        <v>113</v>
      </c>
      <c r="I21" s="7"/>
      <c r="J21" s="7" t="n">
        <v>2</v>
      </c>
      <c r="K21" s="7" t="str">
        <f aca="false">IF(I21="","",I21*J21)</f>
        <v/>
      </c>
      <c r="L21" s="8"/>
      <c r="M21" s="8"/>
      <c r="N21" s="8" t="str">
        <f aca="false">IF(L21="","",ROUND((L21+M21)/2/J21,0))</f>
        <v/>
      </c>
      <c r="O21" s="8" t="str">
        <f aca="false">IF(N21="","",N21*Weights!$B$12)</f>
        <v/>
      </c>
      <c r="P21" s="7" t="s">
        <v>114</v>
      </c>
      <c r="Q21" s="7" t="s">
        <v>80</v>
      </c>
      <c r="R21" s="7" t="s">
        <v>190</v>
      </c>
      <c r="S21" s="7" t="s">
        <v>101</v>
      </c>
      <c r="T21" s="7" t="s">
        <v>102</v>
      </c>
      <c r="U21" s="7"/>
      <c r="V21" s="7"/>
      <c r="W21" s="7" t="s">
        <v>261</v>
      </c>
      <c r="X21" s="7" t="s">
        <v>262</v>
      </c>
      <c r="Y21" s="7" t="s">
        <v>263</v>
      </c>
      <c r="Z21" s="7" t="s">
        <v>88</v>
      </c>
      <c r="AA21" s="7" t="s">
        <v>264</v>
      </c>
      <c r="AB21" s="7" t="s">
        <v>265</v>
      </c>
      <c r="AC21" s="7" t="s">
        <v>266</v>
      </c>
      <c r="AD21" s="7" t="s">
        <v>267</v>
      </c>
      <c r="AE21" s="9" t="n">
        <f aca="false">IF(LEFT(E21,2)="SF",IF(F21="",0,Weights!$B$2*MAX(0,MIN(1,(Weights!$B$9-F21)/(Weights!$B$9-Weights!$B$8)))),0)</f>
        <v>35</v>
      </c>
      <c r="AF21" s="9" t="n">
        <f aca="false">IF(N21="",5,Weights!$B$3*MAX(0,MIN(1,(Weights!$B$7-N21)/(Weights!$B$7-Weights!$B$6))))</f>
        <v>5</v>
      </c>
      <c r="AG21" s="9" t="n">
        <f aca="false">IF(P21="none",0,IF(P21="unknown",5,Weights!$B$4))</f>
        <v>15</v>
      </c>
      <c r="AH21" s="9" t="n">
        <f aca="false">IF(K21="",4,IF(AND(K21&gt;=Weights!$B$13,K21&lt;=Weights!$B$14),Weights!$B$5,IF(K21&gt;100,15,IF(K21&gt;=20,12,4))))</f>
        <v>4</v>
      </c>
      <c r="AI21" s="10" t="n">
        <f aca="false">IF(OR(Q21="taken",Q21="sold",Q21="ruled-out"),0,MIN(IF(AND(H21="tourist-hotel",P21="none"),Weights!$B$11,100),AE21+AF21+AG21+AH21)+IF(T21="yes",Weights!$B$10,0))</f>
        <v>59</v>
      </c>
      <c r="AJ21" s="7" t="s">
        <v>92</v>
      </c>
      <c r="AK21" s="7" t="s">
        <v>93</v>
      </c>
    </row>
    <row r="22" customFormat="false" ht="91" hidden="false" customHeight="false" outlineLevel="0" collapsed="false">
      <c r="A22" s="7" t="n">
        <f aca="false">RANK(AI22,$AI$2:$AI$70)</f>
        <v>58</v>
      </c>
      <c r="B22" s="7" t="s">
        <v>268</v>
      </c>
      <c r="C22" s="7" t="s">
        <v>269</v>
      </c>
      <c r="D22" s="7" t="s">
        <v>270</v>
      </c>
      <c r="E22" s="7" t="s">
        <v>97</v>
      </c>
      <c r="F22" s="7" t="n">
        <v>55</v>
      </c>
      <c r="G22" s="7" t="s">
        <v>77</v>
      </c>
      <c r="H22" s="7" t="s">
        <v>271</v>
      </c>
      <c r="I22" s="7" t="n">
        <v>100</v>
      </c>
      <c r="J22" s="7" t="n">
        <v>1</v>
      </c>
      <c r="K22" s="7" t="n">
        <f aca="false">IF(I22="","",I22*J22)</f>
        <v>100</v>
      </c>
      <c r="L22" s="8"/>
      <c r="M22" s="8"/>
      <c r="N22" s="8" t="str">
        <f aca="false">IF(L22="","",ROUND((L22+M22)/2/J22,0))</f>
        <v/>
      </c>
      <c r="O22" s="8" t="str">
        <f aca="false">IF(N22="","",N22*Weights!$B$12)</f>
        <v/>
      </c>
      <c r="P22" s="7" t="s">
        <v>99</v>
      </c>
      <c r="Q22" s="7" t="s">
        <v>100</v>
      </c>
      <c r="R22" s="7" t="s">
        <v>190</v>
      </c>
      <c r="S22" s="7" t="s">
        <v>128</v>
      </c>
      <c r="T22" s="7" t="s">
        <v>83</v>
      </c>
      <c r="U22" s="7"/>
      <c r="V22" s="7"/>
      <c r="W22" s="7" t="s">
        <v>272</v>
      </c>
      <c r="X22" s="7" t="s">
        <v>273</v>
      </c>
      <c r="Y22" s="7" t="s">
        <v>274</v>
      </c>
      <c r="Z22" s="7" t="s">
        <v>275</v>
      </c>
      <c r="AA22" s="7" t="s">
        <v>276</v>
      </c>
      <c r="AB22" s="7" t="s">
        <v>196</v>
      </c>
      <c r="AC22" s="7" t="s">
        <v>277</v>
      </c>
      <c r="AD22" s="7" t="s">
        <v>278</v>
      </c>
      <c r="AE22" s="9" t="n">
        <f aca="false">IF(LEFT(E22,2)="SF",IF(F22="",0,Weights!$B$2*MAX(0,MIN(1,(Weights!$B$9-F22)/(Weights!$B$9-Weights!$B$8)))),0)</f>
        <v>0</v>
      </c>
      <c r="AF22" s="9" t="n">
        <f aca="false">IF(N22="",5,Weights!$B$3*MAX(0,MIN(1,(Weights!$B$7-N22)/(Weights!$B$7-Weights!$B$6))))</f>
        <v>5</v>
      </c>
      <c r="AG22" s="9" t="n">
        <f aca="false">IF(P22="none",0,IF(P22="unknown",5,Weights!$B$4))</f>
        <v>15</v>
      </c>
      <c r="AH22" s="9" t="n">
        <f aca="false">IF(K22="",4,IF(AND(K22&gt;=Weights!$B$13,K22&lt;=Weights!$B$14),Weights!$B$5,IF(K22&gt;100,15,IF(K22&gt;=20,12,4))))</f>
        <v>12</v>
      </c>
      <c r="AI22" s="10" t="n">
        <f aca="false">IF(OR(Q22="taken",Q22="sold",Q22="ruled-out"),0,MIN(IF(AND(H22="tourist-hotel",P22="none"),Weights!$B$11,100),AE22+AF22+AG22+AH22)+IF(T22="yes",Weights!$B$10,0))</f>
        <v>32</v>
      </c>
      <c r="AJ22" s="7" t="s">
        <v>92</v>
      </c>
      <c r="AK22" s="7" t="s">
        <v>93</v>
      </c>
    </row>
    <row r="23" customFormat="false" ht="68.65" hidden="false" customHeight="false" outlineLevel="0" collapsed="false">
      <c r="A23" s="7" t="n">
        <f aca="false">RANK(AI23,$AI$2:$AI$70)</f>
        <v>58</v>
      </c>
      <c r="B23" s="7" t="s">
        <v>279</v>
      </c>
      <c r="C23" s="7" t="s">
        <v>280</v>
      </c>
      <c r="D23" s="7" t="s">
        <v>281</v>
      </c>
      <c r="E23" s="7" t="s">
        <v>282</v>
      </c>
      <c r="F23" s="7" t="n">
        <v>90</v>
      </c>
      <c r="G23" s="7" t="s">
        <v>77</v>
      </c>
      <c r="H23" s="7" t="s">
        <v>271</v>
      </c>
      <c r="I23" s="7" t="n">
        <v>38</v>
      </c>
      <c r="J23" s="7" t="n">
        <v>2</v>
      </c>
      <c r="K23" s="7" t="n">
        <f aca="false">IF(I23="","",I23*J23)</f>
        <v>76</v>
      </c>
      <c r="L23" s="8"/>
      <c r="M23" s="8"/>
      <c r="N23" s="8" t="str">
        <f aca="false">IF(L23="","",ROUND((L23+M23)/2/J23,0))</f>
        <v/>
      </c>
      <c r="O23" s="8" t="str">
        <f aca="false">IF(N23="","",N23*Weights!$B$12)</f>
        <v/>
      </c>
      <c r="P23" s="7" t="s">
        <v>99</v>
      </c>
      <c r="Q23" s="7" t="s">
        <v>100</v>
      </c>
      <c r="R23" s="7" t="s">
        <v>190</v>
      </c>
      <c r="S23" s="7" t="s">
        <v>82</v>
      </c>
      <c r="T23" s="7" t="s">
        <v>83</v>
      </c>
      <c r="U23" s="7"/>
      <c r="V23" s="7"/>
      <c r="W23" s="7" t="s">
        <v>283</v>
      </c>
      <c r="X23" s="7" t="s">
        <v>284</v>
      </c>
      <c r="Y23" s="7" t="s">
        <v>285</v>
      </c>
      <c r="Z23" s="7" t="s">
        <v>286</v>
      </c>
      <c r="AA23" s="7" t="s">
        <v>287</v>
      </c>
      <c r="AB23" s="7" t="s">
        <v>196</v>
      </c>
      <c r="AC23" s="7" t="s">
        <v>288</v>
      </c>
      <c r="AD23" s="7" t="s">
        <v>289</v>
      </c>
      <c r="AE23" s="9" t="n">
        <f aca="false">IF(LEFT(E23,2)="SF",IF(F23="",0,Weights!$B$2*MAX(0,MIN(1,(Weights!$B$9-F23)/(Weights!$B$9-Weights!$B$8)))),0)</f>
        <v>0</v>
      </c>
      <c r="AF23" s="9" t="n">
        <f aca="false">IF(N23="",5,Weights!$B$3*MAX(0,MIN(1,(Weights!$B$7-N23)/(Weights!$B$7-Weights!$B$6))))</f>
        <v>5</v>
      </c>
      <c r="AG23" s="9" t="n">
        <f aca="false">IF(P23="none",0,IF(P23="unknown",5,Weights!$B$4))</f>
        <v>15</v>
      </c>
      <c r="AH23" s="9" t="n">
        <f aca="false">IF(K23="",4,IF(AND(K23&gt;=Weights!$B$13,K23&lt;=Weights!$B$14),Weights!$B$5,IF(K23&gt;100,15,IF(K23&gt;=20,12,4))))</f>
        <v>12</v>
      </c>
      <c r="AI23" s="10" t="n">
        <f aca="false">IF(OR(Q23="taken",Q23="sold",Q23="ruled-out"),0,MIN(IF(AND(H23="tourist-hotel",P23="none"),Weights!$B$11,100),AE23+AF23+AG23+AH23)+IF(T23="yes",Weights!$B$10,0))</f>
        <v>32</v>
      </c>
      <c r="AJ23" s="7" t="s">
        <v>92</v>
      </c>
      <c r="AK23" s="7" t="s">
        <v>93</v>
      </c>
    </row>
    <row r="24" customFormat="false" ht="46.25" hidden="false" customHeight="false" outlineLevel="0" collapsed="false">
      <c r="A24" s="7" t="n">
        <f aca="false">RANK(AI24,$AI$2:$AI$70)</f>
        <v>27</v>
      </c>
      <c r="B24" s="7" t="s">
        <v>290</v>
      </c>
      <c r="C24" s="7" t="s">
        <v>291</v>
      </c>
      <c r="D24" s="7" t="s">
        <v>112</v>
      </c>
      <c r="E24" s="7" t="s">
        <v>76</v>
      </c>
      <c r="F24" s="7" t="n">
        <v>45</v>
      </c>
      <c r="G24" s="7" t="s">
        <v>77</v>
      </c>
      <c r="H24" s="7" t="s">
        <v>98</v>
      </c>
      <c r="I24" s="7" t="n">
        <v>33</v>
      </c>
      <c r="J24" s="7" t="n">
        <v>1</v>
      </c>
      <c r="K24" s="7" t="n">
        <f aca="false">IF(I24="","",I24*J24)</f>
        <v>33</v>
      </c>
      <c r="L24" s="8" t="n">
        <v>950</v>
      </c>
      <c r="M24" s="8" t="n">
        <v>1200</v>
      </c>
      <c r="N24" s="8" t="n">
        <f aca="false">IF(L24="","",ROUND((L24+M24)/2/J24,0))</f>
        <v>1075</v>
      </c>
      <c r="O24" s="8" t="n">
        <f aca="false">IF(N24="","",N24*Weights!$B$12)</f>
        <v>48375</v>
      </c>
      <c r="P24" s="7" t="s">
        <v>99</v>
      </c>
      <c r="Q24" s="7" t="s">
        <v>100</v>
      </c>
      <c r="R24" s="7" t="s">
        <v>190</v>
      </c>
      <c r="S24" s="7"/>
      <c r="T24" s="7" t="s">
        <v>102</v>
      </c>
      <c r="U24" s="7"/>
      <c r="V24" s="7"/>
      <c r="W24" s="7" t="s">
        <v>292</v>
      </c>
      <c r="X24" s="7" t="s">
        <v>293</v>
      </c>
      <c r="Y24" s="7" t="s">
        <v>294</v>
      </c>
      <c r="Z24" s="7" t="s">
        <v>295</v>
      </c>
      <c r="AA24" s="7" t="s">
        <v>296</v>
      </c>
      <c r="AB24" s="7" t="s">
        <v>196</v>
      </c>
      <c r="AC24" s="7" t="s">
        <v>297</v>
      </c>
      <c r="AD24" s="7" t="s">
        <v>298</v>
      </c>
      <c r="AE24" s="9" t="n">
        <f aca="false">IF(LEFT(E24,2)="SF",IF(F24="",0,Weights!$B$2*MAX(0,MIN(1,(Weights!$B$9-F24)/(Weights!$B$9-Weights!$B$8)))),0)</f>
        <v>0</v>
      </c>
      <c r="AF24" s="9" t="n">
        <f aca="false">IF(N24="",5,Weights!$B$3*MAX(0,MIN(1,(Weights!$B$7-N24)/(Weights!$B$7-Weights!$B$6))))</f>
        <v>28.125</v>
      </c>
      <c r="AG24" s="9" t="n">
        <f aca="false">IF(P24="none",0,IF(P24="unknown",5,Weights!$B$4))</f>
        <v>15</v>
      </c>
      <c r="AH24" s="9" t="n">
        <f aca="false">IF(K24="",4,IF(AND(K24&gt;=Weights!$B$13,K24&lt;=Weights!$B$14),Weights!$B$5,IF(K24&gt;100,15,IF(K24&gt;=20,12,4))))</f>
        <v>12</v>
      </c>
      <c r="AI24" s="10" t="n">
        <f aca="false">IF(OR(Q24="taken",Q24="sold",Q24="ruled-out"),0,MIN(IF(AND(H24="tourist-hotel",P24="none"),Weights!$B$11,100),AE24+AF24+AG24+AH24)+IF(T24="yes",Weights!$B$10,0))</f>
        <v>55.125</v>
      </c>
      <c r="AJ24" s="7" t="s">
        <v>92</v>
      </c>
      <c r="AK24" s="7" t="s">
        <v>93</v>
      </c>
    </row>
    <row r="25" customFormat="false" ht="57.45" hidden="false" customHeight="false" outlineLevel="0" collapsed="false">
      <c r="A25" s="7" t="n">
        <f aca="false">RANK(AI25,$AI$2:$AI$70)</f>
        <v>63</v>
      </c>
      <c r="B25" s="7" t="s">
        <v>299</v>
      </c>
      <c r="C25" s="7" t="s">
        <v>300</v>
      </c>
      <c r="D25" s="7" t="s">
        <v>301</v>
      </c>
      <c r="E25" s="7" t="s">
        <v>76</v>
      </c>
      <c r="F25" s="7" t="n">
        <v>70</v>
      </c>
      <c r="G25" s="7" t="s">
        <v>77</v>
      </c>
      <c r="H25" s="7" t="s">
        <v>151</v>
      </c>
      <c r="I25" s="7" t="n">
        <v>80</v>
      </c>
      <c r="J25" s="7" t="n">
        <v>2</v>
      </c>
      <c r="K25" s="7" t="n">
        <f aca="false">IF(I25="","",I25*J25)</f>
        <v>160</v>
      </c>
      <c r="L25" s="8"/>
      <c r="M25" s="8"/>
      <c r="N25" s="8" t="str">
        <f aca="false">IF(L25="","",ROUND((L25+M25)/2/J25,0))</f>
        <v/>
      </c>
      <c r="O25" s="8" t="str">
        <f aca="false">IF(N25="","",N25*Weights!$B$12)</f>
        <v/>
      </c>
      <c r="P25" s="7" t="s">
        <v>102</v>
      </c>
      <c r="Q25" s="7" t="s">
        <v>140</v>
      </c>
      <c r="R25" s="7" t="s">
        <v>190</v>
      </c>
      <c r="S25" s="7" t="s">
        <v>82</v>
      </c>
      <c r="T25" s="7" t="s">
        <v>83</v>
      </c>
      <c r="U25" s="7"/>
      <c r="V25" s="7"/>
      <c r="W25" s="7" t="s">
        <v>302</v>
      </c>
      <c r="X25" s="7" t="s">
        <v>303</v>
      </c>
      <c r="Y25" s="7" t="s">
        <v>304</v>
      </c>
      <c r="Z25" s="7" t="s">
        <v>305</v>
      </c>
      <c r="AA25" s="7" t="s">
        <v>306</v>
      </c>
      <c r="AB25" s="7" t="s">
        <v>196</v>
      </c>
      <c r="AC25" s="7" t="s">
        <v>307</v>
      </c>
      <c r="AD25" s="7" t="s">
        <v>308</v>
      </c>
      <c r="AE25" s="9" t="n">
        <f aca="false">IF(LEFT(E25,2)="SF",IF(F25="",0,Weights!$B$2*MAX(0,MIN(1,(Weights!$B$9-F25)/(Weights!$B$9-Weights!$B$8)))),0)</f>
        <v>0</v>
      </c>
      <c r="AF25" s="9" t="n">
        <f aca="false">IF(N25="",5,Weights!$B$3*MAX(0,MIN(1,(Weights!$B$7-N25)/(Weights!$B$7-Weights!$B$6))))</f>
        <v>5</v>
      </c>
      <c r="AG25" s="9" t="n">
        <f aca="false">IF(P25="none",0,IF(P25="unknown",5,Weights!$B$4))</f>
        <v>5</v>
      </c>
      <c r="AH25" s="9" t="n">
        <f aca="false">IF(K25="",4,IF(AND(K25&gt;=Weights!$B$13,K25&lt;=Weights!$B$14),Weights!$B$5,IF(K25&gt;100,15,IF(K25&gt;=20,12,4))))</f>
        <v>15</v>
      </c>
      <c r="AI25" s="10" t="n">
        <f aca="false">IF(OR(Q25="taken",Q25="sold",Q25="ruled-out"),0,MIN(IF(AND(H25="tourist-hotel",P25="none"),Weights!$B$11,100),AE25+AF25+AG25+AH25)+IF(T25="yes",Weights!$B$10,0))</f>
        <v>25</v>
      </c>
      <c r="AJ25" s="7" t="s">
        <v>92</v>
      </c>
      <c r="AK25" s="7" t="s">
        <v>93</v>
      </c>
    </row>
    <row r="26" customFormat="false" ht="102.2" hidden="false" customHeight="false" outlineLevel="0" collapsed="false">
      <c r="A26" s="7" t="n">
        <f aca="false">RANK(AI26,$AI$2:$AI$70)</f>
        <v>65</v>
      </c>
      <c r="B26" s="7" t="s">
        <v>309</v>
      </c>
      <c r="C26" s="7" t="s">
        <v>310</v>
      </c>
      <c r="D26" s="7" t="s">
        <v>311</v>
      </c>
      <c r="E26" s="7" t="s">
        <v>97</v>
      </c>
      <c r="F26" s="7" t="n">
        <v>55</v>
      </c>
      <c r="G26" s="7" t="s">
        <v>77</v>
      </c>
      <c r="H26" s="7" t="s">
        <v>271</v>
      </c>
      <c r="I26" s="7"/>
      <c r="J26" s="7" t="n">
        <v>1</v>
      </c>
      <c r="K26" s="7" t="str">
        <f aca="false">IF(I26="","",I26*J26)</f>
        <v/>
      </c>
      <c r="L26" s="8"/>
      <c r="M26" s="8"/>
      <c r="N26" s="8" t="str">
        <f aca="false">IF(L26="","",ROUND((L26+M26)/2/J26,0))</f>
        <v/>
      </c>
      <c r="O26" s="8" t="str">
        <f aca="false">IF(N26="","",N26*Weights!$B$12)</f>
        <v/>
      </c>
      <c r="P26" s="7" t="s">
        <v>102</v>
      </c>
      <c r="Q26" s="7" t="s">
        <v>140</v>
      </c>
      <c r="R26" s="7" t="s">
        <v>190</v>
      </c>
      <c r="S26" s="7" t="s">
        <v>101</v>
      </c>
      <c r="T26" s="7" t="s">
        <v>83</v>
      </c>
      <c r="U26" s="7"/>
      <c r="V26" s="7"/>
      <c r="W26" s="7" t="s">
        <v>312</v>
      </c>
      <c r="X26" s="7" t="s">
        <v>313</v>
      </c>
      <c r="Y26" s="7" t="s">
        <v>314</v>
      </c>
      <c r="Z26" s="7" t="s">
        <v>88</v>
      </c>
      <c r="AA26" s="7" t="s">
        <v>315</v>
      </c>
      <c r="AB26" s="7" t="s">
        <v>196</v>
      </c>
      <c r="AC26" s="7" t="s">
        <v>316</v>
      </c>
      <c r="AD26" s="7" t="s">
        <v>317</v>
      </c>
      <c r="AE26" s="9" t="n">
        <f aca="false">IF(LEFT(E26,2)="SF",IF(F26="",0,Weights!$B$2*MAX(0,MIN(1,(Weights!$B$9-F26)/(Weights!$B$9-Weights!$B$8)))),0)</f>
        <v>0</v>
      </c>
      <c r="AF26" s="9" t="n">
        <f aca="false">IF(N26="",5,Weights!$B$3*MAX(0,MIN(1,(Weights!$B$7-N26)/(Weights!$B$7-Weights!$B$6))))</f>
        <v>5</v>
      </c>
      <c r="AG26" s="9" t="n">
        <f aca="false">IF(P26="none",0,IF(P26="unknown",5,Weights!$B$4))</f>
        <v>5</v>
      </c>
      <c r="AH26" s="9" t="n">
        <f aca="false">IF(K26="",4,IF(AND(K26&gt;=Weights!$B$13,K26&lt;=Weights!$B$14),Weights!$B$5,IF(K26&gt;100,15,IF(K26&gt;=20,12,4))))</f>
        <v>4</v>
      </c>
      <c r="AI26" s="10" t="n">
        <f aca="false">IF(OR(Q26="taken",Q26="sold",Q26="ruled-out"),0,MIN(IF(AND(H26="tourist-hotel",P26="none"),Weights!$B$11,100),AE26+AF26+AG26+AH26)+IF(T26="yes",Weights!$B$10,0))</f>
        <v>14</v>
      </c>
      <c r="AJ26" s="7" t="s">
        <v>92</v>
      </c>
      <c r="AK26" s="7" t="s">
        <v>93</v>
      </c>
    </row>
    <row r="27" customFormat="false" ht="147" hidden="false" customHeight="false" outlineLevel="0" collapsed="false">
      <c r="A27" s="7" t="n">
        <f aca="false">RANK(AI27,$AI$2:$AI$70)</f>
        <v>65</v>
      </c>
      <c r="B27" s="7" t="s">
        <v>318</v>
      </c>
      <c r="C27" s="7" t="s">
        <v>319</v>
      </c>
      <c r="D27" s="7" t="s">
        <v>320</v>
      </c>
      <c r="E27" s="7" t="s">
        <v>282</v>
      </c>
      <c r="F27" s="7" t="n">
        <v>90</v>
      </c>
      <c r="G27" s="7" t="s">
        <v>77</v>
      </c>
      <c r="H27" s="7" t="s">
        <v>271</v>
      </c>
      <c r="I27" s="7"/>
      <c r="J27" s="7" t="n">
        <v>1</v>
      </c>
      <c r="K27" s="7" t="str">
        <f aca="false">IF(I27="","",I27*J27)</f>
        <v/>
      </c>
      <c r="L27" s="8"/>
      <c r="M27" s="8"/>
      <c r="N27" s="8" t="str">
        <f aca="false">IF(L27="","",ROUND((L27+M27)/2/J27,0))</f>
        <v/>
      </c>
      <c r="O27" s="8" t="str">
        <f aca="false">IF(N27="","",N27*Weights!$B$12)</f>
        <v/>
      </c>
      <c r="P27" s="7" t="s">
        <v>102</v>
      </c>
      <c r="Q27" s="7" t="s">
        <v>140</v>
      </c>
      <c r="R27" s="7" t="s">
        <v>190</v>
      </c>
      <c r="S27" s="7" t="s">
        <v>101</v>
      </c>
      <c r="T27" s="7" t="s">
        <v>83</v>
      </c>
      <c r="U27" s="7"/>
      <c r="V27" s="7"/>
      <c r="W27" s="7" t="s">
        <v>321</v>
      </c>
      <c r="X27" s="7" t="s">
        <v>322</v>
      </c>
      <c r="Y27" s="7" t="s">
        <v>323</v>
      </c>
      <c r="Z27" s="7" t="s">
        <v>88</v>
      </c>
      <c r="AA27" s="7" t="s">
        <v>324</v>
      </c>
      <c r="AB27" s="7" t="s">
        <v>196</v>
      </c>
      <c r="AC27" s="7" t="s">
        <v>325</v>
      </c>
      <c r="AD27" s="7" t="s">
        <v>326</v>
      </c>
      <c r="AE27" s="9" t="n">
        <f aca="false">IF(LEFT(E27,2)="SF",IF(F27="",0,Weights!$B$2*MAX(0,MIN(1,(Weights!$B$9-F27)/(Weights!$B$9-Weights!$B$8)))),0)</f>
        <v>0</v>
      </c>
      <c r="AF27" s="9" t="n">
        <f aca="false">IF(N27="",5,Weights!$B$3*MAX(0,MIN(1,(Weights!$B$7-N27)/(Weights!$B$7-Weights!$B$6))))</f>
        <v>5</v>
      </c>
      <c r="AG27" s="9" t="n">
        <f aca="false">IF(P27="none",0,IF(P27="unknown",5,Weights!$B$4))</f>
        <v>5</v>
      </c>
      <c r="AH27" s="9" t="n">
        <f aca="false">IF(K27="",4,IF(AND(K27&gt;=Weights!$B$13,K27&lt;=Weights!$B$14),Weights!$B$5,IF(K27&gt;100,15,IF(K27&gt;=20,12,4))))</f>
        <v>4</v>
      </c>
      <c r="AI27" s="10" t="n">
        <f aca="false">IF(OR(Q27="taken",Q27="sold",Q27="ruled-out"),0,MIN(IF(AND(H27="tourist-hotel",P27="none"),Weights!$B$11,100),AE27+AF27+AG27+AH27)+IF(T27="yes",Weights!$B$10,0))</f>
        <v>14</v>
      </c>
      <c r="AJ27" s="7" t="s">
        <v>92</v>
      </c>
      <c r="AK27" s="7" t="s">
        <v>93</v>
      </c>
    </row>
    <row r="28" customFormat="false" ht="57.45" hidden="false" customHeight="false" outlineLevel="0" collapsed="false">
      <c r="A28" s="7" t="n">
        <f aca="false">RANK(AI28,$AI$2:$AI$70)</f>
        <v>38</v>
      </c>
      <c r="B28" s="7" t="s">
        <v>327</v>
      </c>
      <c r="C28" s="7" t="s">
        <v>328</v>
      </c>
      <c r="D28" s="7" t="s">
        <v>329</v>
      </c>
      <c r="E28" s="7" t="s">
        <v>76</v>
      </c>
      <c r="F28" s="7" t="n">
        <v>75</v>
      </c>
      <c r="G28" s="7" t="s">
        <v>77</v>
      </c>
      <c r="H28" s="7" t="s">
        <v>78</v>
      </c>
      <c r="I28" s="7" t="n">
        <v>108</v>
      </c>
      <c r="J28" s="7" t="n">
        <v>1</v>
      </c>
      <c r="K28" s="7" t="n">
        <f aca="false">IF(I28="","",I28*J28)</f>
        <v>108</v>
      </c>
      <c r="L28" s="8" t="n">
        <v>900</v>
      </c>
      <c r="M28" s="8" t="n">
        <v>1300</v>
      </c>
      <c r="N28" s="8" t="n">
        <f aca="false">IF(L28="","",ROUND((L28+M28)/2/J28,0))</f>
        <v>1100</v>
      </c>
      <c r="O28" s="8" t="n">
        <f aca="false">IF(N28="","",N28*Weights!$B$12)</f>
        <v>49500</v>
      </c>
      <c r="P28" s="7" t="s">
        <v>79</v>
      </c>
      <c r="Q28" s="7" t="s">
        <v>80</v>
      </c>
      <c r="R28" s="7" t="s">
        <v>190</v>
      </c>
      <c r="S28" s="7"/>
      <c r="T28" s="7" t="s">
        <v>83</v>
      </c>
      <c r="U28" s="7"/>
      <c r="V28" s="7"/>
      <c r="W28" s="7" t="s">
        <v>330</v>
      </c>
      <c r="X28" s="7" t="s">
        <v>331</v>
      </c>
      <c r="Y28" s="7" t="s">
        <v>332</v>
      </c>
      <c r="Z28" s="7" t="s">
        <v>88</v>
      </c>
      <c r="AA28" s="7" t="s">
        <v>333</v>
      </c>
      <c r="AB28" s="7" t="s">
        <v>196</v>
      </c>
      <c r="AC28" s="7" t="s">
        <v>334</v>
      </c>
      <c r="AD28" s="7" t="s">
        <v>335</v>
      </c>
      <c r="AE28" s="9" t="n">
        <f aca="false">IF(LEFT(E28,2)="SF",IF(F28="",0,Weights!$B$2*MAX(0,MIN(1,(Weights!$B$9-F28)/(Weights!$B$9-Weights!$B$8)))),0)</f>
        <v>0</v>
      </c>
      <c r="AF28" s="9" t="n">
        <f aca="false">IF(N28="",5,Weights!$B$3*MAX(0,MIN(1,(Weights!$B$7-N28)/(Weights!$B$7-Weights!$B$6))))</f>
        <v>27.5</v>
      </c>
      <c r="AG28" s="9" t="n">
        <f aca="false">IF(P28="none",0,IF(P28="unknown",5,Weights!$B$4))</f>
        <v>0</v>
      </c>
      <c r="AH28" s="9" t="n">
        <f aca="false">IF(K28="",4,IF(AND(K28&gt;=Weights!$B$13,K28&lt;=Weights!$B$14),Weights!$B$5,IF(K28&gt;100,15,IF(K28&gt;=20,12,4))))</f>
        <v>15</v>
      </c>
      <c r="AI28" s="10" t="n">
        <f aca="false">IF(OR(Q28="taken",Q28="sold",Q28="ruled-out"),0,MIN(IF(AND(H28="tourist-hotel",P28="none"),Weights!$B$11,100),AE28+AF28+AG28+AH28)+IF(T28="yes",Weights!$B$10,0))</f>
        <v>40</v>
      </c>
      <c r="AJ28" s="7" t="s">
        <v>92</v>
      </c>
      <c r="AK28" s="7" t="s">
        <v>93</v>
      </c>
    </row>
    <row r="29" customFormat="false" ht="46.25" hidden="false" customHeight="false" outlineLevel="0" collapsed="false">
      <c r="A29" s="7" t="n">
        <f aca="false">RANK(AI29,$AI$2:$AI$70)</f>
        <v>38</v>
      </c>
      <c r="B29" s="7" t="s">
        <v>336</v>
      </c>
      <c r="C29" s="7" t="s">
        <v>337</v>
      </c>
      <c r="D29" s="7" t="s">
        <v>126</v>
      </c>
      <c r="E29" s="7" t="s">
        <v>127</v>
      </c>
      <c r="F29" s="7" t="n">
        <v>3</v>
      </c>
      <c r="G29" s="7" t="s">
        <v>77</v>
      </c>
      <c r="H29" s="7" t="s">
        <v>78</v>
      </c>
      <c r="I29" s="7" t="n">
        <v>80</v>
      </c>
      <c r="J29" s="7" t="n">
        <v>1</v>
      </c>
      <c r="K29" s="7" t="n">
        <f aca="false">IF(I29="","",I29*J29)</f>
        <v>80</v>
      </c>
      <c r="L29" s="8" t="n">
        <v>1500</v>
      </c>
      <c r="M29" s="8" t="n">
        <v>2200</v>
      </c>
      <c r="N29" s="8" t="n">
        <f aca="false">IF(L29="","",ROUND((L29+M29)/2/J29,0))</f>
        <v>1850</v>
      </c>
      <c r="O29" s="8" t="n">
        <f aca="false">IF(N29="","",N29*Weights!$B$12)</f>
        <v>83250</v>
      </c>
      <c r="P29" s="7" t="s">
        <v>79</v>
      </c>
      <c r="Q29" s="7" t="s">
        <v>80</v>
      </c>
      <c r="R29" s="7" t="s">
        <v>190</v>
      </c>
      <c r="S29" s="7" t="s">
        <v>128</v>
      </c>
      <c r="T29" s="7" t="s">
        <v>102</v>
      </c>
      <c r="U29" s="7"/>
      <c r="V29" s="7"/>
      <c r="W29" s="7" t="s">
        <v>338</v>
      </c>
      <c r="X29" s="7" t="s">
        <v>339</v>
      </c>
      <c r="Y29" s="7" t="s">
        <v>340</v>
      </c>
      <c r="Z29" s="7" t="s">
        <v>88</v>
      </c>
      <c r="AA29" s="7" t="s">
        <v>341</v>
      </c>
      <c r="AB29" s="7" t="s">
        <v>134</v>
      </c>
      <c r="AC29" s="7" t="s">
        <v>342</v>
      </c>
      <c r="AD29" s="7" t="s">
        <v>343</v>
      </c>
      <c r="AE29" s="9" t="n">
        <f aca="false">IF(LEFT(E29,2)="SF",IF(F29="",0,Weights!$B$2*MAX(0,MIN(1,(Weights!$B$9-F29)/(Weights!$B$9-Weights!$B$8)))),0)</f>
        <v>35</v>
      </c>
      <c r="AF29" s="9" t="n">
        <f aca="false">IF(N29="",5,Weights!$B$3*MAX(0,MIN(1,(Weights!$B$7-N29)/(Weights!$B$7-Weights!$B$6))))</f>
        <v>8.75</v>
      </c>
      <c r="AG29" s="9" t="n">
        <f aca="false">IF(P29="none",0,IF(P29="unknown",5,Weights!$B$4))</f>
        <v>0</v>
      </c>
      <c r="AH29" s="9" t="n">
        <f aca="false">IF(K29="",4,IF(AND(K29&gt;=Weights!$B$13,K29&lt;=Weights!$B$14),Weights!$B$5,IF(K29&gt;100,15,IF(K29&gt;=20,12,4))))</f>
        <v>12</v>
      </c>
      <c r="AI29" s="10" t="n">
        <f aca="false">IF(OR(Q29="taken",Q29="sold",Q29="ruled-out"),0,MIN(IF(AND(H29="tourist-hotel",P29="none"),Weights!$B$11,100),AE29+AF29+AG29+AH29)+IF(T29="yes",Weights!$B$10,0))</f>
        <v>40</v>
      </c>
      <c r="AJ29" s="7" t="s">
        <v>92</v>
      </c>
      <c r="AK29" s="7" t="s">
        <v>93</v>
      </c>
    </row>
    <row r="30" customFormat="false" ht="79.85" hidden="false" customHeight="false" outlineLevel="0" collapsed="false">
      <c r="A30" s="7" t="n">
        <f aca="false">RANK(AI30,$AI$2:$AI$70)</f>
        <v>36</v>
      </c>
      <c r="B30" s="7" t="s">
        <v>344</v>
      </c>
      <c r="C30" s="7" t="s">
        <v>345</v>
      </c>
      <c r="D30" s="7" t="s">
        <v>96</v>
      </c>
      <c r="E30" s="7" t="s">
        <v>97</v>
      </c>
      <c r="F30" s="7" t="n">
        <v>35</v>
      </c>
      <c r="G30" s="7" t="s">
        <v>77</v>
      </c>
      <c r="H30" s="7" t="s">
        <v>151</v>
      </c>
      <c r="I30" s="7" t="n">
        <v>48</v>
      </c>
      <c r="J30" s="7" t="n">
        <v>2</v>
      </c>
      <c r="K30" s="7" t="n">
        <f aca="false">IF(I30="","",I30*J30)</f>
        <v>96</v>
      </c>
      <c r="L30" s="8"/>
      <c r="M30" s="8"/>
      <c r="N30" s="8" t="str">
        <f aca="false">IF(L30="","",ROUND((L30+M30)/2/J30,0))</f>
        <v/>
      </c>
      <c r="O30" s="8" t="str">
        <f aca="false">IF(N30="","",N30*Weights!$B$12)</f>
        <v/>
      </c>
      <c r="P30" s="7" t="s">
        <v>99</v>
      </c>
      <c r="Q30" s="7" t="s">
        <v>100</v>
      </c>
      <c r="R30" s="7" t="s">
        <v>190</v>
      </c>
      <c r="S30" s="7" t="s">
        <v>128</v>
      </c>
      <c r="T30" s="7" t="s">
        <v>83</v>
      </c>
      <c r="U30" s="7"/>
      <c r="V30" s="7"/>
      <c r="W30" s="7" t="s">
        <v>346</v>
      </c>
      <c r="X30" s="7" t="s">
        <v>347</v>
      </c>
      <c r="Y30" s="7" t="s">
        <v>348</v>
      </c>
      <c r="Z30" s="7" t="s">
        <v>88</v>
      </c>
      <c r="AA30" s="7" t="s">
        <v>349</v>
      </c>
      <c r="AB30" s="7" t="s">
        <v>134</v>
      </c>
      <c r="AC30" s="7" t="s">
        <v>350</v>
      </c>
      <c r="AD30" s="7" t="s">
        <v>351</v>
      </c>
      <c r="AE30" s="9" t="n">
        <f aca="false">IF(LEFT(E30,2)="SF",IF(F30="",0,Weights!$B$2*MAX(0,MIN(1,(Weights!$B$9-F30)/(Weights!$B$9-Weights!$B$8)))),0)</f>
        <v>10</v>
      </c>
      <c r="AF30" s="9" t="n">
        <f aca="false">IF(N30="",5,Weights!$B$3*MAX(0,MIN(1,(Weights!$B$7-N30)/(Weights!$B$7-Weights!$B$6))))</f>
        <v>5</v>
      </c>
      <c r="AG30" s="9" t="n">
        <f aca="false">IF(P30="none",0,IF(P30="unknown",5,Weights!$B$4))</f>
        <v>15</v>
      </c>
      <c r="AH30" s="9" t="n">
        <f aca="false">IF(K30="",4,IF(AND(K30&gt;=Weights!$B$13,K30&lt;=Weights!$B$14),Weights!$B$5,IF(K30&gt;100,15,IF(K30&gt;=20,12,4))))</f>
        <v>12</v>
      </c>
      <c r="AI30" s="10" t="n">
        <f aca="false">IF(OR(Q30="taken",Q30="sold",Q30="ruled-out"),0,MIN(IF(AND(H30="tourist-hotel",P30="none"),Weights!$B$11,100),AE30+AF30+AG30+AH30)+IF(T30="yes",Weights!$B$10,0))</f>
        <v>42</v>
      </c>
      <c r="AJ30" s="7" t="s">
        <v>92</v>
      </c>
      <c r="AK30" s="7" t="s">
        <v>93</v>
      </c>
    </row>
    <row r="31" customFormat="false" ht="79.85" hidden="false" customHeight="false" outlineLevel="0" collapsed="false">
      <c r="A31" s="7" t="n">
        <f aca="false">RANK(AI31,$AI$2:$AI$70)</f>
        <v>29</v>
      </c>
      <c r="B31" s="7" t="s">
        <v>352</v>
      </c>
      <c r="C31" s="7" t="s">
        <v>353</v>
      </c>
      <c r="D31" s="7" t="s">
        <v>75</v>
      </c>
      <c r="E31" s="7" t="s">
        <v>76</v>
      </c>
      <c r="F31" s="7" t="n">
        <v>45</v>
      </c>
      <c r="G31" s="7" t="s">
        <v>77</v>
      </c>
      <c r="H31" s="7" t="s">
        <v>113</v>
      </c>
      <c r="I31" s="7" t="n">
        <v>105</v>
      </c>
      <c r="J31" s="7" t="n">
        <v>2</v>
      </c>
      <c r="K31" s="7" t="n">
        <f aca="false">IF(I31="","",I31*J31)</f>
        <v>210</v>
      </c>
      <c r="L31" s="8" t="n">
        <v>2200</v>
      </c>
      <c r="M31" s="8" t="n">
        <v>2800</v>
      </c>
      <c r="N31" s="8" t="n">
        <f aca="false">IF(L31="","",ROUND((L31+M31)/2/J31,0))</f>
        <v>1250</v>
      </c>
      <c r="O31" s="8" t="n">
        <f aca="false">IF(N31="","",N31*Weights!$B$12)</f>
        <v>56250</v>
      </c>
      <c r="P31" s="7" t="s">
        <v>114</v>
      </c>
      <c r="Q31" s="7" t="s">
        <v>80</v>
      </c>
      <c r="R31" s="7" t="s">
        <v>190</v>
      </c>
      <c r="S31" s="7" t="s">
        <v>82</v>
      </c>
      <c r="T31" s="7" t="s">
        <v>83</v>
      </c>
      <c r="U31" s="7"/>
      <c r="V31" s="7"/>
      <c r="W31" s="7" t="s">
        <v>354</v>
      </c>
      <c r="X31" s="7" t="s">
        <v>355</v>
      </c>
      <c r="Y31" s="7"/>
      <c r="Z31" s="7"/>
      <c r="AA31" s="7"/>
      <c r="AB31" s="7"/>
      <c r="AC31" s="7" t="s">
        <v>356</v>
      </c>
      <c r="AD31" s="7" t="s">
        <v>357</v>
      </c>
      <c r="AE31" s="9" t="n">
        <f aca="false">IF(LEFT(E31,2)="SF",IF(F31="",0,Weights!$B$2*MAX(0,MIN(1,(Weights!$B$9-F31)/(Weights!$B$9-Weights!$B$8)))),0)</f>
        <v>0</v>
      </c>
      <c r="AF31" s="9" t="n">
        <f aca="false">IF(N31="",5,Weights!$B$3*MAX(0,MIN(1,(Weights!$B$7-N31)/(Weights!$B$7-Weights!$B$6))))</f>
        <v>23.75</v>
      </c>
      <c r="AG31" s="9" t="n">
        <f aca="false">IF(P31="none",0,IF(P31="unknown",5,Weights!$B$4))</f>
        <v>15</v>
      </c>
      <c r="AH31" s="9" t="n">
        <f aca="false">IF(K31="",4,IF(AND(K31&gt;=Weights!$B$13,K31&lt;=Weights!$B$14),Weights!$B$5,IF(K31&gt;100,15,IF(K31&gt;=20,12,4))))</f>
        <v>15</v>
      </c>
      <c r="AI31" s="10" t="n">
        <f aca="false">IF(OR(Q31="taken",Q31="sold",Q31="ruled-out"),0,MIN(IF(AND(H31="tourist-hotel",P31="none"),Weights!$B$11,100),AE31+AF31+AG31+AH31)+IF(T31="yes",Weights!$B$10,0))</f>
        <v>53.75</v>
      </c>
      <c r="AJ31" s="7" t="s">
        <v>92</v>
      </c>
      <c r="AK31" s="7" t="s">
        <v>93</v>
      </c>
    </row>
    <row r="32" customFormat="false" ht="57.45" hidden="false" customHeight="false" outlineLevel="0" collapsed="false">
      <c r="A32" s="7" t="n">
        <f aca="false">RANK(AI32,$AI$2:$AI$70)</f>
        <v>38</v>
      </c>
      <c r="B32" s="7" t="s">
        <v>358</v>
      </c>
      <c r="C32" s="7" t="s">
        <v>359</v>
      </c>
      <c r="D32" s="7" t="s">
        <v>360</v>
      </c>
      <c r="E32" s="7" t="s">
        <v>76</v>
      </c>
      <c r="F32" s="7" t="n">
        <v>60</v>
      </c>
      <c r="G32" s="7" t="s">
        <v>77</v>
      </c>
      <c r="H32" s="7" t="s">
        <v>78</v>
      </c>
      <c r="I32" s="7" t="n">
        <v>113</v>
      </c>
      <c r="J32" s="7" t="n">
        <v>1</v>
      </c>
      <c r="K32" s="7" t="n">
        <f aca="false">IF(I32="","",I32*J32)</f>
        <v>113</v>
      </c>
      <c r="L32" s="8" t="n">
        <v>900</v>
      </c>
      <c r="M32" s="8" t="n">
        <v>1300</v>
      </c>
      <c r="N32" s="8" t="n">
        <f aca="false">IF(L32="","",ROUND((L32+M32)/2/J32,0))</f>
        <v>1100</v>
      </c>
      <c r="O32" s="8" t="n">
        <f aca="false">IF(N32="","",N32*Weights!$B$12)</f>
        <v>49500</v>
      </c>
      <c r="P32" s="7" t="s">
        <v>79</v>
      </c>
      <c r="Q32" s="7" t="s">
        <v>80</v>
      </c>
      <c r="R32" s="7" t="s">
        <v>190</v>
      </c>
      <c r="S32" s="7"/>
      <c r="T32" s="7" t="s">
        <v>83</v>
      </c>
      <c r="U32" s="7"/>
      <c r="V32" s="7"/>
      <c r="W32" s="7" t="s">
        <v>361</v>
      </c>
      <c r="X32" s="7" t="s">
        <v>362</v>
      </c>
      <c r="Y32" s="7"/>
      <c r="Z32" s="7"/>
      <c r="AA32" s="7"/>
      <c r="AB32" s="7"/>
      <c r="AC32" s="7" t="s">
        <v>363</v>
      </c>
      <c r="AD32" s="7" t="s">
        <v>364</v>
      </c>
      <c r="AE32" s="9" t="n">
        <f aca="false">IF(LEFT(E32,2)="SF",IF(F32="",0,Weights!$B$2*MAX(0,MIN(1,(Weights!$B$9-F32)/(Weights!$B$9-Weights!$B$8)))),0)</f>
        <v>0</v>
      </c>
      <c r="AF32" s="9" t="n">
        <f aca="false">IF(N32="",5,Weights!$B$3*MAX(0,MIN(1,(Weights!$B$7-N32)/(Weights!$B$7-Weights!$B$6))))</f>
        <v>27.5</v>
      </c>
      <c r="AG32" s="9" t="n">
        <f aca="false">IF(P32="none",0,IF(P32="unknown",5,Weights!$B$4))</f>
        <v>0</v>
      </c>
      <c r="AH32" s="9" t="n">
        <f aca="false">IF(K32="",4,IF(AND(K32&gt;=Weights!$B$13,K32&lt;=Weights!$B$14),Weights!$B$5,IF(K32&gt;100,15,IF(K32&gt;=20,12,4))))</f>
        <v>15</v>
      </c>
      <c r="AI32" s="10" t="n">
        <f aca="false">IF(OR(Q32="taken",Q32="sold",Q32="ruled-out"),0,MIN(IF(AND(H32="tourist-hotel",P32="none"),Weights!$B$11,100),AE32+AF32+AG32+AH32)+IF(T32="yes",Weights!$B$10,0))</f>
        <v>40</v>
      </c>
      <c r="AJ32" s="7" t="s">
        <v>92</v>
      </c>
      <c r="AK32" s="7" t="s">
        <v>93</v>
      </c>
    </row>
    <row r="33" customFormat="false" ht="46.25" hidden="false" customHeight="false" outlineLevel="0" collapsed="false">
      <c r="A33" s="7" t="n">
        <f aca="false">RANK(AI33,$AI$2:$AI$70)</f>
        <v>55</v>
      </c>
      <c r="B33" s="7" t="s">
        <v>365</v>
      </c>
      <c r="C33" s="7" t="s">
        <v>366</v>
      </c>
      <c r="D33" s="7" t="s">
        <v>367</v>
      </c>
      <c r="E33" s="7" t="s">
        <v>368</v>
      </c>
      <c r="F33" s="7" t="n">
        <v>120</v>
      </c>
      <c r="G33" s="7" t="s">
        <v>77</v>
      </c>
      <c r="H33" s="7" t="s">
        <v>78</v>
      </c>
      <c r="I33" s="7" t="n">
        <v>299</v>
      </c>
      <c r="J33" s="7" t="n">
        <v>1</v>
      </c>
      <c r="K33" s="7" t="n">
        <f aca="false">IF(I33="","",I33*J33)</f>
        <v>299</v>
      </c>
      <c r="L33" s="8" t="n">
        <v>1200</v>
      </c>
      <c r="M33" s="8" t="n">
        <v>1800</v>
      </c>
      <c r="N33" s="8" t="n">
        <f aca="false">IF(L33="","",ROUND((L33+M33)/2/J33,0))</f>
        <v>1500</v>
      </c>
      <c r="O33" s="8" t="n">
        <f aca="false">IF(N33="","",N33*Weights!$B$12)</f>
        <v>67500</v>
      </c>
      <c r="P33" s="7" t="s">
        <v>79</v>
      </c>
      <c r="Q33" s="7" t="s">
        <v>80</v>
      </c>
      <c r="R33" s="7" t="s">
        <v>190</v>
      </c>
      <c r="S33" s="7"/>
      <c r="T33" s="7" t="s">
        <v>83</v>
      </c>
      <c r="U33" s="7"/>
      <c r="V33" s="7"/>
      <c r="W33" s="7" t="s">
        <v>369</v>
      </c>
      <c r="X33" s="7" t="s">
        <v>370</v>
      </c>
      <c r="Y33" s="7"/>
      <c r="Z33" s="7"/>
      <c r="AA33" s="7"/>
      <c r="AB33" s="7"/>
      <c r="AC33" s="7" t="s">
        <v>371</v>
      </c>
      <c r="AD33" s="7" t="s">
        <v>372</v>
      </c>
      <c r="AE33" s="9" t="n">
        <f aca="false">IF(LEFT(E33,2)="SF",IF(F33="",0,Weights!$B$2*MAX(0,MIN(1,(Weights!$B$9-F33)/(Weights!$B$9-Weights!$B$8)))),0)</f>
        <v>0</v>
      </c>
      <c r="AF33" s="9" t="n">
        <f aca="false">IF(N33="",5,Weights!$B$3*MAX(0,MIN(1,(Weights!$B$7-N33)/(Weights!$B$7-Weights!$B$6))))</f>
        <v>17.5</v>
      </c>
      <c r="AG33" s="9" t="n">
        <f aca="false">IF(P33="none",0,IF(P33="unknown",5,Weights!$B$4))</f>
        <v>0</v>
      </c>
      <c r="AH33" s="9" t="n">
        <f aca="false">IF(K33="",4,IF(AND(K33&gt;=Weights!$B$13,K33&lt;=Weights!$B$14),Weights!$B$5,IF(K33&gt;100,15,IF(K33&gt;=20,12,4))))</f>
        <v>15</v>
      </c>
      <c r="AI33" s="10" t="n">
        <f aca="false">IF(OR(Q33="taken",Q33="sold",Q33="ruled-out"),0,MIN(IF(AND(H33="tourist-hotel",P33="none"),Weights!$B$11,100),AE33+AF33+AG33+AH33)+IF(T33="yes",Weights!$B$10,0))</f>
        <v>32.5</v>
      </c>
      <c r="AJ33" s="7" t="s">
        <v>92</v>
      </c>
      <c r="AK33" s="7" t="s">
        <v>93</v>
      </c>
    </row>
    <row r="34" customFormat="false" ht="135.8" hidden="false" customHeight="false" outlineLevel="0" collapsed="false">
      <c r="A34" s="7" t="n">
        <f aca="false">RANK(AI34,$AI$2:$AI$70)</f>
        <v>49</v>
      </c>
      <c r="B34" s="7" t="s">
        <v>373</v>
      </c>
      <c r="C34" s="7" t="s">
        <v>374</v>
      </c>
      <c r="D34" s="7" t="s">
        <v>375</v>
      </c>
      <c r="E34" s="7" t="s">
        <v>368</v>
      </c>
      <c r="F34" s="7" t="n">
        <v>120</v>
      </c>
      <c r="G34" s="7" t="s">
        <v>77</v>
      </c>
      <c r="H34" s="7" t="s">
        <v>78</v>
      </c>
      <c r="I34" s="7" t="n">
        <v>315</v>
      </c>
      <c r="J34" s="7" t="n">
        <v>1</v>
      </c>
      <c r="K34" s="7" t="n">
        <f aca="false">IF(I34="","",I34*J34)</f>
        <v>315</v>
      </c>
      <c r="L34" s="8" t="n">
        <v>1000</v>
      </c>
      <c r="M34" s="8" t="n">
        <v>1500</v>
      </c>
      <c r="N34" s="8" t="n">
        <f aca="false">IF(L34="","",ROUND((L34+M34)/2/J34,0))</f>
        <v>1250</v>
      </c>
      <c r="O34" s="8" t="n">
        <f aca="false">IF(N34="","",N34*Weights!$B$12)</f>
        <v>56250</v>
      </c>
      <c r="P34" s="7" t="s">
        <v>79</v>
      </c>
      <c r="Q34" s="7" t="s">
        <v>80</v>
      </c>
      <c r="R34" s="7" t="s">
        <v>190</v>
      </c>
      <c r="S34" s="7"/>
      <c r="T34" s="7" t="s">
        <v>83</v>
      </c>
      <c r="U34" s="7"/>
      <c r="V34" s="7"/>
      <c r="W34" s="7" t="s">
        <v>376</v>
      </c>
      <c r="X34" s="7" t="s">
        <v>377</v>
      </c>
      <c r="Y34" s="7"/>
      <c r="Z34" s="7"/>
      <c r="AA34" s="7"/>
      <c r="AB34" s="7"/>
      <c r="AC34" s="7" t="s">
        <v>378</v>
      </c>
      <c r="AD34" s="7" t="s">
        <v>379</v>
      </c>
      <c r="AE34" s="9" t="n">
        <f aca="false">IF(LEFT(E34,2)="SF",IF(F34="",0,Weights!$B$2*MAX(0,MIN(1,(Weights!$B$9-F34)/(Weights!$B$9-Weights!$B$8)))),0)</f>
        <v>0</v>
      </c>
      <c r="AF34" s="9" t="n">
        <f aca="false">IF(N34="",5,Weights!$B$3*MAX(0,MIN(1,(Weights!$B$7-N34)/(Weights!$B$7-Weights!$B$6))))</f>
        <v>23.75</v>
      </c>
      <c r="AG34" s="9" t="n">
        <f aca="false">IF(P34="none",0,IF(P34="unknown",5,Weights!$B$4))</f>
        <v>0</v>
      </c>
      <c r="AH34" s="9" t="n">
        <f aca="false">IF(K34="",4,IF(AND(K34&gt;=Weights!$B$13,K34&lt;=Weights!$B$14),Weights!$B$5,IF(K34&gt;100,15,IF(K34&gt;=20,12,4))))</f>
        <v>15</v>
      </c>
      <c r="AI34" s="10" t="n">
        <f aca="false">IF(OR(Q34="taken",Q34="sold",Q34="ruled-out"),0,MIN(IF(AND(H34="tourist-hotel",P34="none"),Weights!$B$11,100),AE34+AF34+AG34+AH34)+IF(T34="yes",Weights!$B$10,0))</f>
        <v>38.75</v>
      </c>
      <c r="AJ34" s="7" t="s">
        <v>92</v>
      </c>
      <c r="AK34" s="7" t="s">
        <v>93</v>
      </c>
    </row>
    <row r="35" customFormat="false" ht="124.6" hidden="false" customHeight="false" outlineLevel="0" collapsed="false">
      <c r="A35" s="7" t="n">
        <f aca="false">RANK(AI35,$AI$2:$AI$70)</f>
        <v>51</v>
      </c>
      <c r="B35" s="7" t="s">
        <v>380</v>
      </c>
      <c r="C35" s="7" t="s">
        <v>381</v>
      </c>
      <c r="D35" s="7" t="s">
        <v>382</v>
      </c>
      <c r="E35" s="7" t="s">
        <v>368</v>
      </c>
      <c r="F35" s="7" t="n">
        <v>90</v>
      </c>
      <c r="G35" s="7" t="s">
        <v>77</v>
      </c>
      <c r="H35" s="7" t="s">
        <v>151</v>
      </c>
      <c r="I35" s="7" t="n">
        <v>250</v>
      </c>
      <c r="J35" s="7" t="n">
        <v>2</v>
      </c>
      <c r="K35" s="7" t="n">
        <f aca="false">IF(I35="","",I35*J35)</f>
        <v>500</v>
      </c>
      <c r="L35" s="8"/>
      <c r="M35" s="8"/>
      <c r="N35" s="8" t="str">
        <f aca="false">IF(L35="","",ROUND((L35+M35)/2/J35,0))</f>
        <v/>
      </c>
      <c r="O35" s="8" t="str">
        <f aca="false">IF(N35="","",N35*Weights!$B$12)</f>
        <v/>
      </c>
      <c r="P35" s="7" t="s">
        <v>99</v>
      </c>
      <c r="Q35" s="7" t="s">
        <v>140</v>
      </c>
      <c r="R35" s="7" t="s">
        <v>383</v>
      </c>
      <c r="S35" s="7" t="s">
        <v>82</v>
      </c>
      <c r="T35" s="7" t="s">
        <v>83</v>
      </c>
      <c r="U35" s="7"/>
      <c r="V35" s="7"/>
      <c r="W35" s="7" t="s">
        <v>384</v>
      </c>
      <c r="X35" s="7" t="s">
        <v>385</v>
      </c>
      <c r="Y35" s="7"/>
      <c r="Z35" s="7"/>
      <c r="AA35" s="7"/>
      <c r="AB35" s="7"/>
      <c r="AC35" s="7" t="s">
        <v>386</v>
      </c>
      <c r="AD35" s="7" t="s">
        <v>387</v>
      </c>
      <c r="AE35" s="9" t="n">
        <f aca="false">IF(LEFT(E35,2)="SF",IF(F35="",0,Weights!$B$2*MAX(0,MIN(1,(Weights!$B$9-F35)/(Weights!$B$9-Weights!$B$8)))),0)</f>
        <v>0</v>
      </c>
      <c r="AF35" s="9" t="n">
        <f aca="false">IF(N35="",5,Weights!$B$3*MAX(0,MIN(1,(Weights!$B$7-N35)/(Weights!$B$7-Weights!$B$6))))</f>
        <v>5</v>
      </c>
      <c r="AG35" s="9" t="n">
        <f aca="false">IF(P35="none",0,IF(P35="unknown",5,Weights!$B$4))</f>
        <v>15</v>
      </c>
      <c r="AH35" s="9" t="n">
        <f aca="false">IF(K35="",4,IF(AND(K35&gt;=Weights!$B$13,K35&lt;=Weights!$B$14),Weights!$B$5,IF(K35&gt;100,15,IF(K35&gt;=20,12,4))))</f>
        <v>15</v>
      </c>
      <c r="AI35" s="10" t="n">
        <f aca="false">IF(OR(Q35="taken",Q35="sold",Q35="ruled-out"),0,MIN(IF(AND(H35="tourist-hotel",P35="none"),Weights!$B$11,100),AE35+AF35+AG35+AH35)+IF(T35="yes",Weights!$B$10,0))</f>
        <v>35</v>
      </c>
      <c r="AJ35" s="7" t="s">
        <v>92</v>
      </c>
      <c r="AK35" s="7" t="s">
        <v>93</v>
      </c>
    </row>
    <row r="36" customFormat="false" ht="124.6" hidden="false" customHeight="false" outlineLevel="0" collapsed="false">
      <c r="A36" s="7" t="n">
        <f aca="false">RANK(AI36,$AI$2:$AI$70)</f>
        <v>15</v>
      </c>
      <c r="B36" s="7" t="s">
        <v>388</v>
      </c>
      <c r="C36" s="7" t="s">
        <v>389</v>
      </c>
      <c r="D36" s="7" t="s">
        <v>390</v>
      </c>
      <c r="E36" s="7" t="s">
        <v>97</v>
      </c>
      <c r="F36" s="7" t="n">
        <v>35</v>
      </c>
      <c r="G36" s="7" t="s">
        <v>77</v>
      </c>
      <c r="H36" s="7" t="s">
        <v>151</v>
      </c>
      <c r="I36" s="7" t="n">
        <v>135</v>
      </c>
      <c r="J36" s="7" t="n">
        <v>2</v>
      </c>
      <c r="K36" s="7" t="n">
        <f aca="false">IF(I36="","",I36*J36)</f>
        <v>270</v>
      </c>
      <c r="L36" s="8" t="n">
        <v>1100</v>
      </c>
      <c r="M36" s="8" t="n">
        <v>1500</v>
      </c>
      <c r="N36" s="8" t="n">
        <f aca="false">IF(L36="","",ROUND((L36+M36)/2/J36,0))</f>
        <v>650</v>
      </c>
      <c r="O36" s="8" t="n">
        <f aca="false">IF(N36="","",N36*Weights!$B$12)</f>
        <v>29250</v>
      </c>
      <c r="P36" s="7" t="s">
        <v>99</v>
      </c>
      <c r="Q36" s="7" t="s">
        <v>115</v>
      </c>
      <c r="R36" s="7" t="s">
        <v>391</v>
      </c>
      <c r="S36" s="7" t="s">
        <v>162</v>
      </c>
      <c r="T36" s="7" t="s">
        <v>102</v>
      </c>
      <c r="U36" s="7"/>
      <c r="V36" s="7"/>
      <c r="W36" s="7" t="s">
        <v>392</v>
      </c>
      <c r="X36" s="7" t="s">
        <v>393</v>
      </c>
      <c r="Y36" s="7" t="s">
        <v>394</v>
      </c>
      <c r="Z36" s="7" t="s">
        <v>395</v>
      </c>
      <c r="AA36" s="7" t="s">
        <v>396</v>
      </c>
      <c r="AB36" s="7" t="s">
        <v>134</v>
      </c>
      <c r="AC36" s="7" t="s">
        <v>397</v>
      </c>
      <c r="AD36" s="7" t="s">
        <v>398</v>
      </c>
      <c r="AE36" s="9" t="n">
        <f aca="false">IF(LEFT(E36,2)="SF",IF(F36="",0,Weights!$B$2*MAX(0,MIN(1,(Weights!$B$9-F36)/(Weights!$B$9-Weights!$B$8)))),0)</f>
        <v>10</v>
      </c>
      <c r="AF36" s="9" t="n">
        <f aca="false">IF(N36="",5,Weights!$B$3*MAX(0,MIN(1,(Weights!$B$7-N36)/(Weights!$B$7-Weights!$B$6))))</f>
        <v>30</v>
      </c>
      <c r="AG36" s="9" t="n">
        <f aca="false">IF(P36="none",0,IF(P36="unknown",5,Weights!$B$4))</f>
        <v>15</v>
      </c>
      <c r="AH36" s="9" t="n">
        <f aca="false">IF(K36="",4,IF(AND(K36&gt;=Weights!$B$13,K36&lt;=Weights!$B$14),Weights!$B$5,IF(K36&gt;100,15,IF(K36&gt;=20,12,4))))</f>
        <v>15</v>
      </c>
      <c r="AI36" s="10" t="n">
        <f aca="false">IF(OR(Q36="taken",Q36="sold",Q36="ruled-out"),0,MIN(IF(AND(H36="tourist-hotel",P36="none"),Weights!$B$11,100),AE36+AF36+AG36+AH36)+IF(T36="yes",Weights!$B$10,0))</f>
        <v>70</v>
      </c>
      <c r="AJ36" s="7" t="s">
        <v>92</v>
      </c>
      <c r="AK36" s="7" t="s">
        <v>93</v>
      </c>
    </row>
    <row r="37" customFormat="false" ht="124.6" hidden="false" customHeight="false" outlineLevel="0" collapsed="false">
      <c r="A37" s="7" t="n">
        <f aca="false">RANK(AI37,$AI$2:$AI$70)</f>
        <v>9</v>
      </c>
      <c r="B37" s="7" t="s">
        <v>399</v>
      </c>
      <c r="C37" s="7" t="s">
        <v>400</v>
      </c>
      <c r="D37" s="7" t="s">
        <v>126</v>
      </c>
      <c r="E37" s="7" t="s">
        <v>127</v>
      </c>
      <c r="F37" s="7" t="n">
        <v>6</v>
      </c>
      <c r="G37" s="7" t="s">
        <v>77</v>
      </c>
      <c r="H37" s="7" t="s">
        <v>98</v>
      </c>
      <c r="I37" s="7" t="n">
        <v>32</v>
      </c>
      <c r="J37" s="7" t="n">
        <v>1</v>
      </c>
      <c r="K37" s="7" t="n">
        <f aca="false">IF(I37="","",I37*J37)</f>
        <v>32</v>
      </c>
      <c r="L37" s="8" t="n">
        <v>1100</v>
      </c>
      <c r="M37" s="8" t="n">
        <v>1500</v>
      </c>
      <c r="N37" s="8" t="n">
        <f aca="false">IF(L37="","",ROUND((L37+M37)/2/J37,0))</f>
        <v>1300</v>
      </c>
      <c r="O37" s="8" t="n">
        <f aca="false">IF(N37="","",N37*Weights!$B$12)</f>
        <v>58500</v>
      </c>
      <c r="P37" s="7" t="s">
        <v>99</v>
      </c>
      <c r="Q37" s="7" t="s">
        <v>100</v>
      </c>
      <c r="R37" s="7" t="s">
        <v>401</v>
      </c>
      <c r="S37" s="7" t="s">
        <v>402</v>
      </c>
      <c r="T37" s="7" t="s">
        <v>102</v>
      </c>
      <c r="U37" s="7"/>
      <c r="V37" s="7"/>
      <c r="W37" s="7" t="s">
        <v>403</v>
      </c>
      <c r="X37" s="7" t="s">
        <v>404</v>
      </c>
      <c r="Y37" s="7" t="s">
        <v>405</v>
      </c>
      <c r="Z37" s="7" t="s">
        <v>406</v>
      </c>
      <c r="AA37" s="7" t="s">
        <v>407</v>
      </c>
      <c r="AB37" s="7" t="s">
        <v>408</v>
      </c>
      <c r="AC37" s="7" t="s">
        <v>409</v>
      </c>
      <c r="AD37" s="7" t="s">
        <v>410</v>
      </c>
      <c r="AE37" s="9" t="n">
        <f aca="false">IF(LEFT(E37,2)="SF",IF(F37="",0,Weights!$B$2*MAX(0,MIN(1,(Weights!$B$9-F37)/(Weights!$B$9-Weights!$B$8)))),0)</f>
        <v>35</v>
      </c>
      <c r="AF37" s="9" t="n">
        <f aca="false">IF(N37="",5,Weights!$B$3*MAX(0,MIN(1,(Weights!$B$7-N37)/(Weights!$B$7-Weights!$B$6))))</f>
        <v>22.5</v>
      </c>
      <c r="AG37" s="9" t="n">
        <f aca="false">IF(P37="none",0,IF(P37="unknown",5,Weights!$B$4))</f>
        <v>15</v>
      </c>
      <c r="AH37" s="9" t="n">
        <f aca="false">IF(K37="",4,IF(AND(K37&gt;=Weights!$B$13,K37&lt;=Weights!$B$14),Weights!$B$5,IF(K37&gt;100,15,IF(K37&gt;=20,12,4))))</f>
        <v>12</v>
      </c>
      <c r="AI37" s="10" t="n">
        <f aca="false">IF(OR(Q37="taken",Q37="sold",Q37="ruled-out"),0,MIN(IF(AND(H37="tourist-hotel",P37="none"),Weights!$B$11,100),AE37+AF37+AG37+AH37)+IF(T37="yes",Weights!$B$10,0))</f>
        <v>84.5</v>
      </c>
      <c r="AJ37" s="7" t="s">
        <v>92</v>
      </c>
      <c r="AK37" s="7" t="s">
        <v>93</v>
      </c>
    </row>
    <row r="38" customFormat="false" ht="124.6" hidden="false" customHeight="false" outlineLevel="0" collapsed="false">
      <c r="A38" s="7" t="n">
        <f aca="false">RANK(AI38,$AI$2:$AI$70)</f>
        <v>18</v>
      </c>
      <c r="B38" s="7" t="s">
        <v>411</v>
      </c>
      <c r="C38" s="7" t="s">
        <v>412</v>
      </c>
      <c r="D38" s="7" t="s">
        <v>126</v>
      </c>
      <c r="E38" s="7" t="s">
        <v>127</v>
      </c>
      <c r="F38" s="7" t="n">
        <v>10</v>
      </c>
      <c r="G38" s="7" t="s">
        <v>77</v>
      </c>
      <c r="H38" s="7" t="s">
        <v>98</v>
      </c>
      <c r="I38" s="7" t="n">
        <v>13</v>
      </c>
      <c r="J38" s="7" t="n">
        <v>1</v>
      </c>
      <c r="K38" s="7" t="n">
        <f aca="false">IF(I38="","",I38*J38)</f>
        <v>13</v>
      </c>
      <c r="L38" s="8" t="n">
        <v>1100</v>
      </c>
      <c r="M38" s="8" t="n">
        <v>1500</v>
      </c>
      <c r="N38" s="8" t="n">
        <f aca="false">IF(L38="","",ROUND((L38+M38)/2/J38,0))</f>
        <v>1300</v>
      </c>
      <c r="O38" s="8" t="n">
        <f aca="false">IF(N38="","",N38*Weights!$B$12)</f>
        <v>58500</v>
      </c>
      <c r="P38" s="7" t="s">
        <v>102</v>
      </c>
      <c r="Q38" s="7" t="s">
        <v>100</v>
      </c>
      <c r="R38" s="7" t="s">
        <v>401</v>
      </c>
      <c r="S38" s="7" t="s">
        <v>413</v>
      </c>
      <c r="T38" s="7" t="s">
        <v>102</v>
      </c>
      <c r="U38" s="7"/>
      <c r="V38" s="7"/>
      <c r="W38" s="7" t="s">
        <v>414</v>
      </c>
      <c r="X38" s="7" t="s">
        <v>404</v>
      </c>
      <c r="Y38" s="7" t="s">
        <v>415</v>
      </c>
      <c r="Z38" s="7" t="s">
        <v>416</v>
      </c>
      <c r="AA38" s="7" t="s">
        <v>88</v>
      </c>
      <c r="AB38" s="7" t="s">
        <v>408</v>
      </c>
      <c r="AC38" s="7" t="s">
        <v>409</v>
      </c>
      <c r="AD38" s="7" t="s">
        <v>410</v>
      </c>
      <c r="AE38" s="9" t="n">
        <f aca="false">IF(LEFT(E38,2)="SF",IF(F38="",0,Weights!$B$2*MAX(0,MIN(1,(Weights!$B$9-F38)/(Weights!$B$9-Weights!$B$8)))),0)</f>
        <v>35</v>
      </c>
      <c r="AF38" s="9" t="n">
        <f aca="false">IF(N38="",5,Weights!$B$3*MAX(0,MIN(1,(Weights!$B$7-N38)/(Weights!$B$7-Weights!$B$6))))</f>
        <v>22.5</v>
      </c>
      <c r="AG38" s="9" t="n">
        <f aca="false">IF(P38="none",0,IF(P38="unknown",5,Weights!$B$4))</f>
        <v>5</v>
      </c>
      <c r="AH38" s="9" t="n">
        <f aca="false">IF(K38="",4,IF(AND(K38&gt;=Weights!$B$13,K38&lt;=Weights!$B$14),Weights!$B$5,IF(K38&gt;100,15,IF(K38&gt;=20,12,4))))</f>
        <v>4</v>
      </c>
      <c r="AI38" s="10" t="n">
        <f aca="false">IF(OR(Q38="taken",Q38="sold",Q38="ruled-out"),0,MIN(IF(AND(H38="tourist-hotel",P38="none"),Weights!$B$11,100),AE38+AF38+AG38+AH38)+IF(T38="yes",Weights!$B$10,0))</f>
        <v>66.5</v>
      </c>
      <c r="AJ38" s="7" t="s">
        <v>92</v>
      </c>
      <c r="AK38" s="7" t="s">
        <v>93</v>
      </c>
    </row>
    <row r="39" customFormat="false" ht="46.25" hidden="false" customHeight="false" outlineLevel="0" collapsed="false">
      <c r="A39" s="7" t="n">
        <f aca="false">RANK(AI39,$AI$2:$AI$70)</f>
        <v>51</v>
      </c>
      <c r="B39" s="7" t="s">
        <v>417</v>
      </c>
      <c r="C39" s="7" t="s">
        <v>418</v>
      </c>
      <c r="D39" s="7" t="s">
        <v>419</v>
      </c>
      <c r="E39" s="7" t="s">
        <v>76</v>
      </c>
      <c r="F39" s="7" t="n">
        <v>50</v>
      </c>
      <c r="G39" s="7" t="s">
        <v>77</v>
      </c>
      <c r="H39" s="7" t="s">
        <v>113</v>
      </c>
      <c r="I39" s="7" t="n">
        <v>110</v>
      </c>
      <c r="J39" s="7" t="n">
        <v>1</v>
      </c>
      <c r="K39" s="7" t="n">
        <f aca="false">IF(I39="","",I39*J39)</f>
        <v>110</v>
      </c>
      <c r="L39" s="8"/>
      <c r="M39" s="8"/>
      <c r="N39" s="8" t="str">
        <f aca="false">IF(L39="","",ROUND((L39+M39)/2/J39,0))</f>
        <v/>
      </c>
      <c r="O39" s="8" t="str">
        <f aca="false">IF(N39="","",N39*Weights!$B$12)</f>
        <v/>
      </c>
      <c r="P39" s="7" t="s">
        <v>114</v>
      </c>
      <c r="Q39" s="7" t="s">
        <v>100</v>
      </c>
      <c r="R39" s="7" t="s">
        <v>401</v>
      </c>
      <c r="S39" s="7"/>
      <c r="T39" s="7" t="s">
        <v>83</v>
      </c>
      <c r="U39" s="7"/>
      <c r="V39" s="7"/>
      <c r="W39" s="7" t="s">
        <v>420</v>
      </c>
      <c r="X39" s="7" t="s">
        <v>421</v>
      </c>
      <c r="Y39" s="7" t="s">
        <v>422</v>
      </c>
      <c r="Z39" s="7" t="s">
        <v>423</v>
      </c>
      <c r="AA39" s="7" t="s">
        <v>424</v>
      </c>
      <c r="AB39" s="7" t="s">
        <v>425</v>
      </c>
      <c r="AC39" s="7" t="s">
        <v>426</v>
      </c>
      <c r="AD39" s="7" t="s">
        <v>427</v>
      </c>
      <c r="AE39" s="9" t="n">
        <f aca="false">IF(LEFT(E39,2)="SF",IF(F39="",0,Weights!$B$2*MAX(0,MIN(1,(Weights!$B$9-F39)/(Weights!$B$9-Weights!$B$8)))),0)</f>
        <v>0</v>
      </c>
      <c r="AF39" s="9" t="n">
        <f aca="false">IF(N39="",5,Weights!$B$3*MAX(0,MIN(1,(Weights!$B$7-N39)/(Weights!$B$7-Weights!$B$6))))</f>
        <v>5</v>
      </c>
      <c r="AG39" s="9" t="n">
        <f aca="false">IF(P39="none",0,IF(P39="unknown",5,Weights!$B$4))</f>
        <v>15</v>
      </c>
      <c r="AH39" s="9" t="n">
        <f aca="false">IF(K39="",4,IF(AND(K39&gt;=Weights!$B$13,K39&lt;=Weights!$B$14),Weights!$B$5,IF(K39&gt;100,15,IF(K39&gt;=20,12,4))))</f>
        <v>15</v>
      </c>
      <c r="AI39" s="10" t="n">
        <f aca="false">IF(OR(Q39="taken",Q39="sold",Q39="ruled-out"),0,MIN(IF(AND(H39="tourist-hotel",P39="none"),Weights!$B$11,100),AE39+AF39+AG39+AH39)+IF(T39="yes",Weights!$B$10,0))</f>
        <v>35</v>
      </c>
      <c r="AJ39" s="7" t="s">
        <v>92</v>
      </c>
      <c r="AK39" s="7" t="s">
        <v>93</v>
      </c>
    </row>
    <row r="40" customFormat="false" ht="158.2" hidden="false" customHeight="false" outlineLevel="0" collapsed="false">
      <c r="A40" s="7" t="n">
        <f aca="false">RANK(AI40,$AI$2:$AI$70)</f>
        <v>20</v>
      </c>
      <c r="B40" s="7" t="s">
        <v>428</v>
      </c>
      <c r="C40" s="7" t="s">
        <v>429</v>
      </c>
      <c r="D40" s="7" t="s">
        <v>360</v>
      </c>
      <c r="E40" s="7" t="s">
        <v>76</v>
      </c>
      <c r="F40" s="7" t="n">
        <v>55</v>
      </c>
      <c r="G40" s="7" t="s">
        <v>77</v>
      </c>
      <c r="H40" s="7" t="s">
        <v>179</v>
      </c>
      <c r="I40" s="7" t="n">
        <v>60</v>
      </c>
      <c r="J40" s="7" t="n">
        <v>1</v>
      </c>
      <c r="K40" s="7" t="n">
        <f aca="false">IF(I40="","",I40*J40)</f>
        <v>60</v>
      </c>
      <c r="L40" s="8" t="n">
        <v>1050</v>
      </c>
      <c r="M40" s="8" t="n">
        <v>1480</v>
      </c>
      <c r="N40" s="8" t="n">
        <f aca="false">IF(L40="","",ROUND((L40+M40)/2/J40,0))</f>
        <v>1265</v>
      </c>
      <c r="O40" s="8" t="n">
        <f aca="false">IF(N40="","",N40*Weights!$B$12)</f>
        <v>56925</v>
      </c>
      <c r="P40" s="7" t="s">
        <v>99</v>
      </c>
      <c r="Q40" s="7" t="s">
        <v>115</v>
      </c>
      <c r="R40" s="7" t="s">
        <v>401</v>
      </c>
      <c r="S40" s="7"/>
      <c r="T40" s="7" t="s">
        <v>116</v>
      </c>
      <c r="U40" s="7"/>
      <c r="V40" s="7"/>
      <c r="W40" s="7" t="s">
        <v>430</v>
      </c>
      <c r="X40" s="7" t="s">
        <v>431</v>
      </c>
      <c r="Y40" s="7" t="s">
        <v>432</v>
      </c>
      <c r="Z40" s="7" t="s">
        <v>433</v>
      </c>
      <c r="AA40" s="7" t="s">
        <v>434</v>
      </c>
      <c r="AB40" s="7" t="s">
        <v>425</v>
      </c>
      <c r="AC40" s="7" t="s">
        <v>435</v>
      </c>
      <c r="AD40" s="7" t="s">
        <v>436</v>
      </c>
      <c r="AE40" s="9" t="n">
        <f aca="false">IF(LEFT(E40,2)="SF",IF(F40="",0,Weights!$B$2*MAX(0,MIN(1,(Weights!$B$9-F40)/(Weights!$B$9-Weights!$B$8)))),0)</f>
        <v>0</v>
      </c>
      <c r="AF40" s="9" t="n">
        <f aca="false">IF(N40="",5,Weights!$B$3*MAX(0,MIN(1,(Weights!$B$7-N40)/(Weights!$B$7-Weights!$B$6))))</f>
        <v>23.375</v>
      </c>
      <c r="AG40" s="9" t="n">
        <f aca="false">IF(P40="none",0,IF(P40="unknown",5,Weights!$B$4))</f>
        <v>15</v>
      </c>
      <c r="AH40" s="9" t="n">
        <f aca="false">IF(K40="",4,IF(AND(K40&gt;=Weights!$B$13,K40&lt;=Weights!$B$14),Weights!$B$5,IF(K40&gt;100,15,IF(K40&gt;=20,12,4))))</f>
        <v>20</v>
      </c>
      <c r="AI40" s="10" t="n">
        <f aca="false">IF(OR(Q40="taken",Q40="sold",Q40="ruled-out"),0,MIN(IF(AND(H40="tourist-hotel",P40="none"),Weights!$B$11,100),AE40+AF40+AG40+AH40)+IF(T40="yes",Weights!$B$10,0))</f>
        <v>63.375</v>
      </c>
      <c r="AJ40" s="7" t="s">
        <v>92</v>
      </c>
      <c r="AK40" s="7" t="s">
        <v>93</v>
      </c>
    </row>
    <row r="41" customFormat="false" ht="46.25" hidden="false" customHeight="false" outlineLevel="0" collapsed="false">
      <c r="A41" s="7" t="n">
        <f aca="false">RANK(AI41,$AI$2:$AI$70)</f>
        <v>23</v>
      </c>
      <c r="B41" s="7" t="s">
        <v>437</v>
      </c>
      <c r="C41" s="7" t="s">
        <v>438</v>
      </c>
      <c r="D41" s="7" t="s">
        <v>150</v>
      </c>
      <c r="E41" s="7" t="s">
        <v>127</v>
      </c>
      <c r="F41" s="7" t="n">
        <v>22</v>
      </c>
      <c r="G41" s="7" t="s">
        <v>77</v>
      </c>
      <c r="H41" s="7" t="s">
        <v>113</v>
      </c>
      <c r="I41" s="7" t="n">
        <v>43</v>
      </c>
      <c r="J41" s="7" t="n">
        <v>1</v>
      </c>
      <c r="K41" s="7" t="n">
        <f aca="false">IF(I41="","",I41*J41)</f>
        <v>43</v>
      </c>
      <c r="L41" s="8" t="n">
        <v>1800</v>
      </c>
      <c r="M41" s="8" t="n">
        <v>2400</v>
      </c>
      <c r="N41" s="8" t="n">
        <f aca="false">IF(L41="","",ROUND((L41+M41)/2/J41,0))</f>
        <v>2100</v>
      </c>
      <c r="O41" s="8" t="n">
        <f aca="false">IF(N41="","",N41*Weights!$B$12)</f>
        <v>94500</v>
      </c>
      <c r="P41" s="7" t="s">
        <v>114</v>
      </c>
      <c r="Q41" s="7" t="s">
        <v>100</v>
      </c>
      <c r="R41" s="7" t="s">
        <v>401</v>
      </c>
      <c r="S41" s="7" t="s">
        <v>101</v>
      </c>
      <c r="T41" s="7" t="s">
        <v>83</v>
      </c>
      <c r="U41" s="7"/>
      <c r="V41" s="7"/>
      <c r="W41" s="7" t="s">
        <v>439</v>
      </c>
      <c r="X41" s="7" t="s">
        <v>440</v>
      </c>
      <c r="Y41" s="7" t="s">
        <v>441</v>
      </c>
      <c r="Z41" s="7" t="s">
        <v>442</v>
      </c>
      <c r="AA41" s="7" t="s">
        <v>443</v>
      </c>
      <c r="AB41" s="7" t="s">
        <v>425</v>
      </c>
      <c r="AC41" s="7" t="s">
        <v>444</v>
      </c>
      <c r="AD41" s="7" t="s">
        <v>445</v>
      </c>
      <c r="AE41" s="9" t="n">
        <f aca="false">IF(LEFT(E41,2)="SF",IF(F41="",0,Weights!$B$2*MAX(0,MIN(1,(Weights!$B$9-F41)/(Weights!$B$9-Weights!$B$8)))),0)</f>
        <v>23</v>
      </c>
      <c r="AF41" s="9" t="n">
        <f aca="false">IF(N41="",5,Weights!$B$3*MAX(0,MIN(1,(Weights!$B$7-N41)/(Weights!$B$7-Weights!$B$6))))</f>
        <v>2.5</v>
      </c>
      <c r="AG41" s="9" t="n">
        <f aca="false">IF(P41="none",0,IF(P41="unknown",5,Weights!$B$4))</f>
        <v>15</v>
      </c>
      <c r="AH41" s="9" t="n">
        <f aca="false">IF(K41="",4,IF(AND(K41&gt;=Weights!$B$13,K41&lt;=Weights!$B$14),Weights!$B$5,IF(K41&gt;100,15,IF(K41&gt;=20,12,4))))</f>
        <v>20</v>
      </c>
      <c r="AI41" s="10" t="n">
        <f aca="false">IF(OR(Q41="taken",Q41="sold",Q41="ruled-out"),0,MIN(IF(AND(H41="tourist-hotel",P41="none"),Weights!$B$11,100),AE41+AF41+AG41+AH41)+IF(T41="yes",Weights!$B$10,0))</f>
        <v>60.5</v>
      </c>
      <c r="AJ41" s="7" t="s">
        <v>92</v>
      </c>
      <c r="AK41" s="7" t="s">
        <v>93</v>
      </c>
    </row>
    <row r="42" customFormat="false" ht="113.4" hidden="false" customHeight="false" outlineLevel="0" collapsed="false">
      <c r="A42" s="7" t="n">
        <f aca="false">RANK(AI42,$AI$2:$AI$70)</f>
        <v>17</v>
      </c>
      <c r="B42" s="7" t="s">
        <v>446</v>
      </c>
      <c r="C42" s="7" t="s">
        <v>447</v>
      </c>
      <c r="D42" s="7" t="s">
        <v>448</v>
      </c>
      <c r="E42" s="7" t="s">
        <v>97</v>
      </c>
      <c r="F42" s="7" t="n">
        <v>45</v>
      </c>
      <c r="G42" s="7" t="s">
        <v>77</v>
      </c>
      <c r="H42" s="7" t="s">
        <v>113</v>
      </c>
      <c r="I42" s="7" t="n">
        <v>15</v>
      </c>
      <c r="J42" s="7" t="n">
        <v>3</v>
      </c>
      <c r="K42" s="7" t="n">
        <f aca="false">IF(I42="","",I42*J42)</f>
        <v>45</v>
      </c>
      <c r="L42" s="8" t="n">
        <v>2600</v>
      </c>
      <c r="M42" s="8" t="n">
        <v>3900</v>
      </c>
      <c r="N42" s="8" t="n">
        <f aca="false">IF(L42="","",ROUND((L42+M42)/2/J42,0))</f>
        <v>1083</v>
      </c>
      <c r="O42" s="8" t="n">
        <f aca="false">IF(N42="","",N42*Weights!$B$12)</f>
        <v>48735</v>
      </c>
      <c r="P42" s="7" t="s">
        <v>114</v>
      </c>
      <c r="Q42" s="7" t="s">
        <v>115</v>
      </c>
      <c r="R42" s="7" t="s">
        <v>449</v>
      </c>
      <c r="S42" s="7" t="s">
        <v>180</v>
      </c>
      <c r="T42" s="7" t="s">
        <v>116</v>
      </c>
      <c r="U42" s="7"/>
      <c r="V42" s="7"/>
      <c r="W42" s="7" t="s">
        <v>450</v>
      </c>
      <c r="X42" s="7" t="s">
        <v>451</v>
      </c>
      <c r="Y42" s="7" t="s">
        <v>452</v>
      </c>
      <c r="Z42" s="7" t="s">
        <v>453</v>
      </c>
      <c r="AA42" s="7" t="s">
        <v>454</v>
      </c>
      <c r="AB42" s="7" t="s">
        <v>455</v>
      </c>
      <c r="AC42" s="7" t="s">
        <v>456</v>
      </c>
      <c r="AD42" s="7" t="s">
        <v>457</v>
      </c>
      <c r="AE42" s="9" t="n">
        <f aca="false">IF(LEFT(E42,2)="SF",IF(F42="",0,Weights!$B$2*MAX(0,MIN(1,(Weights!$B$9-F42)/(Weights!$B$9-Weights!$B$8)))),0)</f>
        <v>0</v>
      </c>
      <c r="AF42" s="9" t="n">
        <f aca="false">IF(N42="",5,Weights!$B$3*MAX(0,MIN(1,(Weights!$B$7-N42)/(Weights!$B$7-Weights!$B$6))))</f>
        <v>27.925</v>
      </c>
      <c r="AG42" s="9" t="n">
        <f aca="false">IF(P42="none",0,IF(P42="unknown",5,Weights!$B$4))</f>
        <v>15</v>
      </c>
      <c r="AH42" s="9" t="n">
        <f aca="false">IF(K42="",4,IF(AND(K42&gt;=Weights!$B$13,K42&lt;=Weights!$B$14),Weights!$B$5,IF(K42&gt;100,15,IF(K42&gt;=20,12,4))))</f>
        <v>20</v>
      </c>
      <c r="AI42" s="10" t="n">
        <f aca="false">IF(OR(Q42="taken",Q42="sold",Q42="ruled-out"),0,MIN(IF(AND(H42="tourist-hotel",P42="none"),Weights!$B$11,100),AE42+AF42+AG42+AH42)+IF(T42="yes",Weights!$B$10,0))</f>
        <v>67.925</v>
      </c>
      <c r="AJ42" s="7" t="s">
        <v>92</v>
      </c>
      <c r="AK42" s="7" t="s">
        <v>93</v>
      </c>
    </row>
    <row r="43" customFormat="false" ht="102.2" hidden="false" customHeight="false" outlineLevel="0" collapsed="false">
      <c r="A43" s="7" t="n">
        <f aca="false">RANK(AI43,$AI$2:$AI$70)</f>
        <v>4</v>
      </c>
      <c r="B43" s="7" t="s">
        <v>458</v>
      </c>
      <c r="C43" s="7" t="s">
        <v>459</v>
      </c>
      <c r="D43" s="7" t="s">
        <v>126</v>
      </c>
      <c r="E43" s="7" t="s">
        <v>127</v>
      </c>
      <c r="F43" s="7" t="n">
        <v>5</v>
      </c>
      <c r="G43" s="7" t="s">
        <v>77</v>
      </c>
      <c r="H43" s="7" t="s">
        <v>151</v>
      </c>
      <c r="I43" s="7" t="n">
        <v>72</v>
      </c>
      <c r="J43" s="7" t="n">
        <v>2</v>
      </c>
      <c r="K43" s="7" t="n">
        <f aca="false">IF(I43="","",I43*J43)</f>
        <v>144</v>
      </c>
      <c r="L43" s="8" t="n">
        <v>1400</v>
      </c>
      <c r="M43" s="8" t="n">
        <v>3800</v>
      </c>
      <c r="N43" s="8" t="n">
        <f aca="false">IF(L43="","",ROUND((L43+M43)/2/J43,0))</f>
        <v>1300</v>
      </c>
      <c r="O43" s="8" t="n">
        <f aca="false">IF(N43="","",N43*Weights!$B$12)</f>
        <v>58500</v>
      </c>
      <c r="P43" s="7" t="s">
        <v>99</v>
      </c>
      <c r="Q43" s="7" t="s">
        <v>115</v>
      </c>
      <c r="R43" s="7" t="s">
        <v>449</v>
      </c>
      <c r="S43" s="7" t="s">
        <v>460</v>
      </c>
      <c r="T43" s="7" t="s">
        <v>116</v>
      </c>
      <c r="U43" s="7"/>
      <c r="V43" s="7"/>
      <c r="W43" s="7" t="s">
        <v>461</v>
      </c>
      <c r="X43" s="7" t="s">
        <v>462</v>
      </c>
      <c r="Y43" s="7" t="s">
        <v>463</v>
      </c>
      <c r="Z43" s="7" t="s">
        <v>464</v>
      </c>
      <c r="AA43" s="7" t="s">
        <v>465</v>
      </c>
      <c r="AB43" s="7" t="s">
        <v>455</v>
      </c>
      <c r="AC43" s="7" t="s">
        <v>466</v>
      </c>
      <c r="AD43" s="7" t="s">
        <v>467</v>
      </c>
      <c r="AE43" s="9" t="n">
        <f aca="false">IF(LEFT(E43,2)="SF",IF(F43="",0,Weights!$B$2*MAX(0,MIN(1,(Weights!$B$9-F43)/(Weights!$B$9-Weights!$B$8)))),0)</f>
        <v>35</v>
      </c>
      <c r="AF43" s="9" t="n">
        <f aca="false">IF(N43="",5,Weights!$B$3*MAX(0,MIN(1,(Weights!$B$7-N43)/(Weights!$B$7-Weights!$B$6))))</f>
        <v>22.5</v>
      </c>
      <c r="AG43" s="9" t="n">
        <f aca="false">IF(P43="none",0,IF(P43="unknown",5,Weights!$B$4))</f>
        <v>15</v>
      </c>
      <c r="AH43" s="9" t="n">
        <f aca="false">IF(K43="",4,IF(AND(K43&gt;=Weights!$B$13,K43&lt;=Weights!$B$14),Weights!$B$5,IF(K43&gt;100,15,IF(K43&gt;=20,12,4))))</f>
        <v>15</v>
      </c>
      <c r="AI43" s="10" t="n">
        <f aca="false">IF(OR(Q43="taken",Q43="sold",Q43="ruled-out"),0,MIN(IF(AND(H43="tourist-hotel",P43="none"),Weights!$B$11,100),AE43+AF43+AG43+AH43)+IF(T43="yes",Weights!$B$10,0))</f>
        <v>92.5</v>
      </c>
      <c r="AJ43" s="7" t="s">
        <v>92</v>
      </c>
      <c r="AK43" s="7" t="s">
        <v>93</v>
      </c>
    </row>
    <row r="44" customFormat="false" ht="79.85" hidden="false" customHeight="false" outlineLevel="0" collapsed="false">
      <c r="A44" s="7" t="n">
        <f aca="false">RANK(AI44,$AI$2:$AI$70)</f>
        <v>36</v>
      </c>
      <c r="B44" s="7" t="s">
        <v>468</v>
      </c>
      <c r="C44" s="7" t="s">
        <v>469</v>
      </c>
      <c r="D44" s="7" t="s">
        <v>470</v>
      </c>
      <c r="E44" s="7" t="s">
        <v>97</v>
      </c>
      <c r="F44" s="7" t="n">
        <v>60</v>
      </c>
      <c r="G44" s="7" t="s">
        <v>77</v>
      </c>
      <c r="H44" s="7" t="s">
        <v>113</v>
      </c>
      <c r="I44" s="7" t="n">
        <v>10</v>
      </c>
      <c r="J44" s="7" t="n">
        <v>3</v>
      </c>
      <c r="K44" s="7" t="n">
        <f aca="false">IF(I44="","",I44*J44)</f>
        <v>30</v>
      </c>
      <c r="L44" s="8" t="n">
        <v>4700</v>
      </c>
      <c r="M44" s="8" t="n">
        <v>6100</v>
      </c>
      <c r="N44" s="8" t="n">
        <f aca="false">IF(L44="","",ROUND((L44+M44)/2/J44,0))</f>
        <v>1800</v>
      </c>
      <c r="O44" s="8" t="n">
        <f aca="false">IF(N44="","",N44*Weights!$B$12)</f>
        <v>81000</v>
      </c>
      <c r="P44" s="7" t="s">
        <v>114</v>
      </c>
      <c r="Q44" s="7" t="s">
        <v>115</v>
      </c>
      <c r="R44" s="7" t="s">
        <v>449</v>
      </c>
      <c r="S44" s="7" t="s">
        <v>413</v>
      </c>
      <c r="T44" s="7" t="s">
        <v>116</v>
      </c>
      <c r="U44" s="7"/>
      <c r="V44" s="7"/>
      <c r="W44" s="7" t="s">
        <v>471</v>
      </c>
      <c r="X44" s="7" t="s">
        <v>472</v>
      </c>
      <c r="Y44" s="7" t="s">
        <v>473</v>
      </c>
      <c r="Z44" s="7" t="s">
        <v>474</v>
      </c>
      <c r="AA44" s="7" t="s">
        <v>475</v>
      </c>
      <c r="AB44" s="7" t="s">
        <v>455</v>
      </c>
      <c r="AC44" s="7" t="s">
        <v>476</v>
      </c>
      <c r="AD44" s="7" t="s">
        <v>477</v>
      </c>
      <c r="AE44" s="9" t="n">
        <f aca="false">IF(LEFT(E44,2)="SF",IF(F44="",0,Weights!$B$2*MAX(0,MIN(1,(Weights!$B$9-F44)/(Weights!$B$9-Weights!$B$8)))),0)</f>
        <v>0</v>
      </c>
      <c r="AF44" s="9" t="n">
        <f aca="false">IF(N44="",5,Weights!$B$3*MAX(0,MIN(1,(Weights!$B$7-N44)/(Weights!$B$7-Weights!$B$6))))</f>
        <v>10</v>
      </c>
      <c r="AG44" s="9" t="n">
        <f aca="false">IF(P44="none",0,IF(P44="unknown",5,Weights!$B$4))</f>
        <v>15</v>
      </c>
      <c r="AH44" s="9" t="n">
        <f aca="false">IF(K44="",4,IF(AND(K44&gt;=Weights!$B$13,K44&lt;=Weights!$B$14),Weights!$B$5,IF(K44&gt;100,15,IF(K44&gt;=20,12,4))))</f>
        <v>12</v>
      </c>
      <c r="AI44" s="10" t="n">
        <f aca="false">IF(OR(Q44="taken",Q44="sold",Q44="ruled-out"),0,MIN(IF(AND(H44="tourist-hotel",P44="none"),Weights!$B$11,100),AE44+AF44+AG44+AH44)+IF(T44="yes",Weights!$B$10,0))</f>
        <v>42</v>
      </c>
      <c r="AJ44" s="7" t="s">
        <v>92</v>
      </c>
      <c r="AK44" s="7" t="s">
        <v>93</v>
      </c>
    </row>
    <row r="45" customFormat="false" ht="68.65" hidden="false" customHeight="false" outlineLevel="0" collapsed="false">
      <c r="A45" s="7" t="n">
        <f aca="false">RANK(AI45,$AI$2:$AI$70)</f>
        <v>32</v>
      </c>
      <c r="B45" s="7" t="s">
        <v>478</v>
      </c>
      <c r="C45" s="7" t="s">
        <v>479</v>
      </c>
      <c r="D45" s="7" t="s">
        <v>75</v>
      </c>
      <c r="E45" s="7" t="s">
        <v>76</v>
      </c>
      <c r="F45" s="7" t="n">
        <v>40</v>
      </c>
      <c r="G45" s="7" t="s">
        <v>77</v>
      </c>
      <c r="H45" s="7" t="s">
        <v>113</v>
      </c>
      <c r="I45" s="7" t="n">
        <v>25</v>
      </c>
      <c r="J45" s="7" t="n">
        <v>2</v>
      </c>
      <c r="K45" s="7" t="n">
        <f aca="false">IF(I45="","",I45*J45)</f>
        <v>50</v>
      </c>
      <c r="L45" s="8" t="n">
        <v>3500</v>
      </c>
      <c r="M45" s="8" t="n">
        <v>3811</v>
      </c>
      <c r="N45" s="8" t="n">
        <f aca="false">IF(L45="","",ROUND((L45+M45)/2/J45,0))</f>
        <v>1828</v>
      </c>
      <c r="O45" s="8" t="n">
        <f aca="false">IF(N45="","",N45*Weights!$B$12)</f>
        <v>82260</v>
      </c>
      <c r="P45" s="7" t="s">
        <v>114</v>
      </c>
      <c r="Q45" s="7" t="s">
        <v>115</v>
      </c>
      <c r="R45" s="7" t="s">
        <v>449</v>
      </c>
      <c r="S45" s="7"/>
      <c r="T45" s="7" t="s">
        <v>116</v>
      </c>
      <c r="U45" s="7"/>
      <c r="V45" s="7"/>
      <c r="W45" s="7" t="s">
        <v>480</v>
      </c>
      <c r="X45" s="7" t="s">
        <v>481</v>
      </c>
      <c r="Y45" s="7" t="s">
        <v>482</v>
      </c>
      <c r="Z45" s="7" t="s">
        <v>483</v>
      </c>
      <c r="AA45" s="7" t="s">
        <v>484</v>
      </c>
      <c r="AB45" s="7" t="s">
        <v>455</v>
      </c>
      <c r="AC45" s="7" t="s">
        <v>485</v>
      </c>
      <c r="AD45" s="7" t="s">
        <v>486</v>
      </c>
      <c r="AE45" s="9" t="n">
        <f aca="false">IF(LEFT(E45,2)="SF",IF(F45="",0,Weights!$B$2*MAX(0,MIN(1,(Weights!$B$9-F45)/(Weights!$B$9-Weights!$B$8)))),0)</f>
        <v>0</v>
      </c>
      <c r="AF45" s="9" t="n">
        <f aca="false">IF(N45="",5,Weights!$B$3*MAX(0,MIN(1,(Weights!$B$7-N45)/(Weights!$B$7-Weights!$B$6))))</f>
        <v>9.3</v>
      </c>
      <c r="AG45" s="9" t="n">
        <f aca="false">IF(P45="none",0,IF(P45="unknown",5,Weights!$B$4))</f>
        <v>15</v>
      </c>
      <c r="AH45" s="9" t="n">
        <f aca="false">IF(K45="",4,IF(AND(K45&gt;=Weights!$B$13,K45&lt;=Weights!$B$14),Weights!$B$5,IF(K45&gt;100,15,IF(K45&gt;=20,12,4))))</f>
        <v>20</v>
      </c>
      <c r="AI45" s="10" t="n">
        <f aca="false">IF(OR(Q45="taken",Q45="sold",Q45="ruled-out"),0,MIN(IF(AND(H45="tourist-hotel",P45="none"),Weights!$B$11,100),AE45+AF45+AG45+AH45)+IF(T45="yes",Weights!$B$10,0))</f>
        <v>49.3</v>
      </c>
      <c r="AJ45" s="7" t="s">
        <v>92</v>
      </c>
      <c r="AK45" s="7" t="s">
        <v>93</v>
      </c>
    </row>
    <row r="46" customFormat="false" ht="46.25" hidden="false" customHeight="false" outlineLevel="0" collapsed="false">
      <c r="A46" s="7" t="n">
        <f aca="false">RANK(AI46,$AI$2:$AI$70)</f>
        <v>34</v>
      </c>
      <c r="B46" s="7" t="s">
        <v>487</v>
      </c>
      <c r="C46" s="7" t="s">
        <v>488</v>
      </c>
      <c r="D46" s="7" t="s">
        <v>112</v>
      </c>
      <c r="E46" s="7" t="s">
        <v>76</v>
      </c>
      <c r="F46" s="7" t="n">
        <v>40</v>
      </c>
      <c r="G46" s="7" t="s">
        <v>77</v>
      </c>
      <c r="H46" s="7" t="s">
        <v>113</v>
      </c>
      <c r="I46" s="7" t="n">
        <v>25</v>
      </c>
      <c r="J46" s="7" t="n">
        <v>3</v>
      </c>
      <c r="K46" s="7" t="n">
        <f aca="false">IF(I46="","",I46*J46)</f>
        <v>75</v>
      </c>
      <c r="L46" s="8" t="n">
        <v>4340</v>
      </c>
      <c r="M46" s="8" t="n">
        <v>5335</v>
      </c>
      <c r="N46" s="8" t="n">
        <f aca="false">IF(L46="","",ROUND((L46+M46)/2/J46,0))</f>
        <v>1613</v>
      </c>
      <c r="O46" s="8" t="n">
        <f aca="false">IF(N46="","",N46*Weights!$B$12)</f>
        <v>72585</v>
      </c>
      <c r="P46" s="7" t="s">
        <v>114</v>
      </c>
      <c r="Q46" s="7" t="s">
        <v>115</v>
      </c>
      <c r="R46" s="7" t="s">
        <v>449</v>
      </c>
      <c r="S46" s="7"/>
      <c r="T46" s="7" t="s">
        <v>116</v>
      </c>
      <c r="U46" s="7"/>
      <c r="V46" s="7"/>
      <c r="W46" s="7" t="s">
        <v>489</v>
      </c>
      <c r="X46" s="7" t="s">
        <v>490</v>
      </c>
      <c r="Y46" s="7" t="s">
        <v>482</v>
      </c>
      <c r="Z46" s="7" t="s">
        <v>491</v>
      </c>
      <c r="AA46" s="7" t="s">
        <v>492</v>
      </c>
      <c r="AB46" s="7" t="s">
        <v>455</v>
      </c>
      <c r="AC46" s="7" t="s">
        <v>493</v>
      </c>
      <c r="AD46" s="7" t="s">
        <v>494</v>
      </c>
      <c r="AE46" s="9" t="n">
        <f aca="false">IF(LEFT(E46,2)="SF",IF(F46="",0,Weights!$B$2*MAX(0,MIN(1,(Weights!$B$9-F46)/(Weights!$B$9-Weights!$B$8)))),0)</f>
        <v>0</v>
      </c>
      <c r="AF46" s="9" t="n">
        <f aca="false">IF(N46="",5,Weights!$B$3*MAX(0,MIN(1,(Weights!$B$7-N46)/(Weights!$B$7-Weights!$B$6))))</f>
        <v>14.675</v>
      </c>
      <c r="AG46" s="9" t="n">
        <f aca="false">IF(P46="none",0,IF(P46="unknown",5,Weights!$B$4))</f>
        <v>15</v>
      </c>
      <c r="AH46" s="9" t="n">
        <f aca="false">IF(K46="",4,IF(AND(K46&gt;=Weights!$B$13,K46&lt;=Weights!$B$14),Weights!$B$5,IF(K46&gt;100,15,IF(K46&gt;=20,12,4))))</f>
        <v>12</v>
      </c>
      <c r="AI46" s="10" t="n">
        <f aca="false">IF(OR(Q46="taken",Q46="sold",Q46="ruled-out"),0,MIN(IF(AND(H46="tourist-hotel",P46="none"),Weights!$B$11,100),AE46+AF46+AG46+AH46)+IF(T46="yes",Weights!$B$10,0))</f>
        <v>46.675</v>
      </c>
      <c r="AJ46" s="7" t="s">
        <v>92</v>
      </c>
      <c r="AK46" s="7" t="s">
        <v>93</v>
      </c>
    </row>
    <row r="47" customFormat="false" ht="91" hidden="false" customHeight="false" outlineLevel="0" collapsed="false">
      <c r="A47" s="7" t="n">
        <f aca="false">RANK(AI47,$AI$2:$AI$70)</f>
        <v>68</v>
      </c>
      <c r="B47" s="7" t="s">
        <v>495</v>
      </c>
      <c r="C47" s="7" t="s">
        <v>496</v>
      </c>
      <c r="D47" s="7" t="s">
        <v>150</v>
      </c>
      <c r="E47" s="7" t="s">
        <v>127</v>
      </c>
      <c r="F47" s="7" t="n">
        <v>18</v>
      </c>
      <c r="G47" s="7" t="s">
        <v>77</v>
      </c>
      <c r="H47" s="7" t="s">
        <v>151</v>
      </c>
      <c r="I47" s="7" t="n">
        <v>113</v>
      </c>
      <c r="J47" s="7" t="n">
        <v>1</v>
      </c>
      <c r="K47" s="7" t="n">
        <f aca="false">IF(I47="","",I47*J47)</f>
        <v>113</v>
      </c>
      <c r="L47" s="8"/>
      <c r="M47" s="8"/>
      <c r="N47" s="8" t="str">
        <f aca="false">IF(L47="","",ROUND((L47+M47)/2/J47,0))</f>
        <v/>
      </c>
      <c r="O47" s="8" t="str">
        <f aca="false">IF(N47="","",N47*Weights!$B$12)</f>
        <v/>
      </c>
      <c r="P47" s="7" t="s">
        <v>102</v>
      </c>
      <c r="Q47" s="7" t="s">
        <v>211</v>
      </c>
      <c r="R47" s="7" t="s">
        <v>449</v>
      </c>
      <c r="S47" s="7" t="s">
        <v>101</v>
      </c>
      <c r="T47" s="7" t="s">
        <v>102</v>
      </c>
      <c r="U47" s="7"/>
      <c r="V47" s="7"/>
      <c r="W47" s="7" t="s">
        <v>497</v>
      </c>
      <c r="X47" s="7" t="s">
        <v>498</v>
      </c>
      <c r="Y47" s="7" t="s">
        <v>88</v>
      </c>
      <c r="Z47" s="7" t="s">
        <v>88</v>
      </c>
      <c r="AA47" s="7" t="s">
        <v>499</v>
      </c>
      <c r="AB47" s="7" t="s">
        <v>196</v>
      </c>
      <c r="AC47" s="7" t="s">
        <v>500</v>
      </c>
      <c r="AD47" s="7" t="s">
        <v>501</v>
      </c>
      <c r="AE47" s="9" t="n">
        <f aca="false">IF(LEFT(E47,2)="SF",IF(F47="",0,Weights!$B$2*MAX(0,MIN(1,(Weights!$B$9-F47)/(Weights!$B$9-Weights!$B$8)))),0)</f>
        <v>27</v>
      </c>
      <c r="AF47" s="9" t="n">
        <f aca="false">IF(N47="",5,Weights!$B$3*MAX(0,MIN(1,(Weights!$B$7-N47)/(Weights!$B$7-Weights!$B$6))))</f>
        <v>5</v>
      </c>
      <c r="AG47" s="9" t="n">
        <f aca="false">IF(P47="none",0,IF(P47="unknown",5,Weights!$B$4))</f>
        <v>5</v>
      </c>
      <c r="AH47" s="9" t="n">
        <f aca="false">IF(K47="",4,IF(AND(K47&gt;=Weights!$B$13,K47&lt;=Weights!$B$14),Weights!$B$5,IF(K47&gt;100,15,IF(K47&gt;=20,12,4))))</f>
        <v>15</v>
      </c>
      <c r="AI47" s="10" t="n">
        <f aca="false">IF(OR(Q47="taken",Q47="sold",Q47="ruled-out"),0,MIN(IF(AND(H47="tourist-hotel",P47="none"),Weights!$B$11,100),AE47+AF47+AG47+AH47)+IF(T47="yes",Weights!$B$10,0))</f>
        <v>0</v>
      </c>
      <c r="AJ47" s="7" t="s">
        <v>92</v>
      </c>
      <c r="AK47" s="7" t="s">
        <v>93</v>
      </c>
    </row>
    <row r="48" customFormat="false" ht="68.65" hidden="false" customHeight="false" outlineLevel="0" collapsed="false">
      <c r="A48" s="7" t="n">
        <f aca="false">RANK(AI48,$AI$2:$AI$70)</f>
        <v>21</v>
      </c>
      <c r="B48" s="7" t="s">
        <v>502</v>
      </c>
      <c r="C48" s="7" t="s">
        <v>503</v>
      </c>
      <c r="D48" s="7" t="s">
        <v>360</v>
      </c>
      <c r="E48" s="7" t="s">
        <v>76</v>
      </c>
      <c r="F48" s="7" t="n">
        <v>55</v>
      </c>
      <c r="G48" s="7" t="s">
        <v>77</v>
      </c>
      <c r="H48" s="7" t="s">
        <v>98</v>
      </c>
      <c r="I48" s="7" t="n">
        <v>60</v>
      </c>
      <c r="J48" s="7" t="n">
        <v>1</v>
      </c>
      <c r="K48" s="7" t="n">
        <f aca="false">IF(I48="","",I48*J48)</f>
        <v>60</v>
      </c>
      <c r="L48" s="8" t="n">
        <v>1200</v>
      </c>
      <c r="M48" s="8" t="n">
        <v>1400</v>
      </c>
      <c r="N48" s="8" t="n">
        <f aca="false">IF(L48="","",ROUND((L48+M48)/2/J48,0))</f>
        <v>1300</v>
      </c>
      <c r="O48" s="8" t="n">
        <f aca="false">IF(N48="","",N48*Weights!$B$12)</f>
        <v>58500</v>
      </c>
      <c r="P48" s="7" t="s">
        <v>99</v>
      </c>
      <c r="Q48" s="7" t="s">
        <v>115</v>
      </c>
      <c r="R48" s="7" t="s">
        <v>449</v>
      </c>
      <c r="S48" s="7"/>
      <c r="T48" s="7" t="s">
        <v>116</v>
      </c>
      <c r="U48" s="7"/>
      <c r="V48" s="7"/>
      <c r="W48" s="7" t="s">
        <v>504</v>
      </c>
      <c r="X48" s="7" t="s">
        <v>505</v>
      </c>
      <c r="Y48" s="7"/>
      <c r="Z48" s="7"/>
      <c r="AA48" s="7"/>
      <c r="AB48" s="7"/>
      <c r="AC48" s="7" t="s">
        <v>506</v>
      </c>
      <c r="AD48" s="7" t="s">
        <v>507</v>
      </c>
      <c r="AE48" s="9" t="n">
        <f aca="false">IF(LEFT(E48,2)="SF",IF(F48="",0,Weights!$B$2*MAX(0,MIN(1,(Weights!$B$9-F48)/(Weights!$B$9-Weights!$B$8)))),0)</f>
        <v>0</v>
      </c>
      <c r="AF48" s="9" t="n">
        <f aca="false">IF(N48="",5,Weights!$B$3*MAX(0,MIN(1,(Weights!$B$7-N48)/(Weights!$B$7-Weights!$B$6))))</f>
        <v>22.5</v>
      </c>
      <c r="AG48" s="9" t="n">
        <f aca="false">IF(P48="none",0,IF(P48="unknown",5,Weights!$B$4))</f>
        <v>15</v>
      </c>
      <c r="AH48" s="9" t="n">
        <f aca="false">IF(K48="",4,IF(AND(K48&gt;=Weights!$B$13,K48&lt;=Weights!$B$14),Weights!$B$5,IF(K48&gt;100,15,IF(K48&gt;=20,12,4))))</f>
        <v>20</v>
      </c>
      <c r="AI48" s="10" t="n">
        <f aca="false">IF(OR(Q48="taken",Q48="sold",Q48="ruled-out"),0,MIN(IF(AND(H48="tourist-hotel",P48="none"),Weights!$B$11,100),AE48+AF48+AG48+AH48)+IF(T48="yes",Weights!$B$10,0))</f>
        <v>62.5</v>
      </c>
      <c r="AJ48" s="7" t="s">
        <v>92</v>
      </c>
      <c r="AK48" s="7" t="s">
        <v>93</v>
      </c>
    </row>
    <row r="49" customFormat="false" ht="113.4" hidden="false" customHeight="false" outlineLevel="0" collapsed="false">
      <c r="A49" s="7" t="n">
        <f aca="false">RANK(AI49,$AI$2:$AI$70)</f>
        <v>58</v>
      </c>
      <c r="B49" s="7" t="s">
        <v>508</v>
      </c>
      <c r="C49" s="7" t="s">
        <v>509</v>
      </c>
      <c r="D49" s="7" t="s">
        <v>112</v>
      </c>
      <c r="E49" s="7" t="s">
        <v>76</v>
      </c>
      <c r="F49" s="7" t="n">
        <v>45</v>
      </c>
      <c r="G49" s="7" t="s">
        <v>77</v>
      </c>
      <c r="H49" s="7" t="s">
        <v>179</v>
      </c>
      <c r="I49" s="7" t="n">
        <v>30</v>
      </c>
      <c r="J49" s="7" t="n">
        <v>1</v>
      </c>
      <c r="K49" s="7" t="n">
        <f aca="false">IF(I49="","",I49*J49)</f>
        <v>30</v>
      </c>
      <c r="L49" s="8"/>
      <c r="M49" s="8"/>
      <c r="N49" s="8" t="str">
        <f aca="false">IF(L49="","",ROUND((L49+M49)/2/J49,0))</f>
        <v/>
      </c>
      <c r="O49" s="8" t="str">
        <f aca="false">IF(N49="","",N49*Weights!$B$12)</f>
        <v/>
      </c>
      <c r="P49" s="7" t="s">
        <v>99</v>
      </c>
      <c r="Q49" s="7" t="s">
        <v>140</v>
      </c>
      <c r="R49" s="7" t="s">
        <v>383</v>
      </c>
      <c r="S49" s="7"/>
      <c r="T49" s="7" t="s">
        <v>83</v>
      </c>
      <c r="U49" s="7"/>
      <c r="V49" s="7"/>
      <c r="W49" s="7" t="s">
        <v>510</v>
      </c>
      <c r="X49" s="7" t="s">
        <v>511</v>
      </c>
      <c r="Y49" s="7"/>
      <c r="Z49" s="7"/>
      <c r="AA49" s="7"/>
      <c r="AB49" s="7"/>
      <c r="AC49" s="7" t="s">
        <v>512</v>
      </c>
      <c r="AD49" s="7" t="s">
        <v>513</v>
      </c>
      <c r="AE49" s="9" t="n">
        <f aca="false">IF(LEFT(E49,2)="SF",IF(F49="",0,Weights!$B$2*MAX(0,MIN(1,(Weights!$B$9-F49)/(Weights!$B$9-Weights!$B$8)))),0)</f>
        <v>0</v>
      </c>
      <c r="AF49" s="9" t="n">
        <f aca="false">IF(N49="",5,Weights!$B$3*MAX(0,MIN(1,(Weights!$B$7-N49)/(Weights!$B$7-Weights!$B$6))))</f>
        <v>5</v>
      </c>
      <c r="AG49" s="9" t="n">
        <f aca="false">IF(P49="none",0,IF(P49="unknown",5,Weights!$B$4))</f>
        <v>15</v>
      </c>
      <c r="AH49" s="9" t="n">
        <f aca="false">IF(K49="",4,IF(AND(K49&gt;=Weights!$B$13,K49&lt;=Weights!$B$14),Weights!$B$5,IF(K49&gt;100,15,IF(K49&gt;=20,12,4))))</f>
        <v>12</v>
      </c>
      <c r="AI49" s="10" t="n">
        <f aca="false">IF(OR(Q49="taken",Q49="sold",Q49="ruled-out"),0,MIN(IF(AND(H49="tourist-hotel",P49="none"),Weights!$B$11,100),AE49+AF49+AG49+AH49)+IF(T49="yes",Weights!$B$10,0))</f>
        <v>32</v>
      </c>
      <c r="AJ49" s="7" t="s">
        <v>92</v>
      </c>
      <c r="AK49" s="7" t="s">
        <v>93</v>
      </c>
    </row>
    <row r="50" customFormat="false" ht="113.4" hidden="false" customHeight="false" outlineLevel="0" collapsed="false">
      <c r="A50" s="7" t="n">
        <f aca="false">RANK(AI50,$AI$2:$AI$70)</f>
        <v>38</v>
      </c>
      <c r="B50" s="7" t="s">
        <v>514</v>
      </c>
      <c r="C50" s="7" t="s">
        <v>515</v>
      </c>
      <c r="D50" s="7" t="s">
        <v>516</v>
      </c>
      <c r="E50" s="7" t="s">
        <v>76</v>
      </c>
      <c r="F50" s="7" t="n">
        <v>70</v>
      </c>
      <c r="G50" s="7" t="s">
        <v>77</v>
      </c>
      <c r="H50" s="7" t="s">
        <v>78</v>
      </c>
      <c r="I50" s="7" t="n">
        <v>150</v>
      </c>
      <c r="J50" s="7" t="n">
        <v>1</v>
      </c>
      <c r="K50" s="7" t="n">
        <f aca="false">IF(I50="","",I50*J50)</f>
        <v>150</v>
      </c>
      <c r="L50" s="8" t="n">
        <v>900</v>
      </c>
      <c r="M50" s="8" t="n">
        <v>1300</v>
      </c>
      <c r="N50" s="8" t="n">
        <f aca="false">IF(L50="","",ROUND((L50+M50)/2/J50,0))</f>
        <v>1100</v>
      </c>
      <c r="O50" s="8" t="n">
        <f aca="false">IF(N50="","",N50*Weights!$B$12)</f>
        <v>49500</v>
      </c>
      <c r="P50" s="7" t="s">
        <v>79</v>
      </c>
      <c r="Q50" s="7" t="s">
        <v>100</v>
      </c>
      <c r="R50" s="7" t="s">
        <v>517</v>
      </c>
      <c r="S50" s="7"/>
      <c r="T50" s="7" t="s">
        <v>83</v>
      </c>
      <c r="U50" s="7"/>
      <c r="V50" s="7"/>
      <c r="W50" s="7" t="s">
        <v>518</v>
      </c>
      <c r="X50" s="7" t="s">
        <v>519</v>
      </c>
      <c r="Y50" s="7"/>
      <c r="Z50" s="7"/>
      <c r="AA50" s="7"/>
      <c r="AB50" s="7"/>
      <c r="AC50" s="7" t="s">
        <v>520</v>
      </c>
      <c r="AD50" s="7" t="s">
        <v>521</v>
      </c>
      <c r="AE50" s="9" t="n">
        <f aca="false">IF(LEFT(E50,2)="SF",IF(F50="",0,Weights!$B$2*MAX(0,MIN(1,(Weights!$B$9-F50)/(Weights!$B$9-Weights!$B$8)))),0)</f>
        <v>0</v>
      </c>
      <c r="AF50" s="9" t="n">
        <f aca="false">IF(N50="",5,Weights!$B$3*MAX(0,MIN(1,(Weights!$B$7-N50)/(Weights!$B$7-Weights!$B$6))))</f>
        <v>27.5</v>
      </c>
      <c r="AG50" s="9" t="n">
        <f aca="false">IF(P50="none",0,IF(P50="unknown",5,Weights!$B$4))</f>
        <v>0</v>
      </c>
      <c r="AH50" s="9" t="n">
        <f aca="false">IF(K50="",4,IF(AND(K50&gt;=Weights!$B$13,K50&lt;=Weights!$B$14),Weights!$B$5,IF(K50&gt;100,15,IF(K50&gt;=20,12,4))))</f>
        <v>15</v>
      </c>
      <c r="AI50" s="10" t="n">
        <f aca="false">IF(OR(Q50="taken",Q50="sold",Q50="ruled-out"),0,MIN(IF(AND(H50="tourist-hotel",P50="none"),Weights!$B$11,100),AE50+AF50+AG50+AH50)+IF(T50="yes",Weights!$B$10,0))</f>
        <v>40</v>
      </c>
      <c r="AJ50" s="7" t="s">
        <v>92</v>
      </c>
      <c r="AK50" s="7" t="s">
        <v>93</v>
      </c>
    </row>
    <row r="51" customFormat="false" ht="113.4" hidden="false" customHeight="false" outlineLevel="0" collapsed="false">
      <c r="A51" s="7" t="n">
        <f aca="false">RANK(AI51,$AI$2:$AI$70)</f>
        <v>58</v>
      </c>
      <c r="B51" s="7" t="s">
        <v>522</v>
      </c>
      <c r="C51" s="7" t="s">
        <v>522</v>
      </c>
      <c r="D51" s="7" t="s">
        <v>112</v>
      </c>
      <c r="E51" s="7" t="s">
        <v>76</v>
      </c>
      <c r="F51" s="7" t="n">
        <v>45</v>
      </c>
      <c r="G51" s="7" t="s">
        <v>77</v>
      </c>
      <c r="H51" s="7" t="s">
        <v>113</v>
      </c>
      <c r="I51" s="7" t="n">
        <v>80</v>
      </c>
      <c r="J51" s="7" t="n">
        <v>1</v>
      </c>
      <c r="K51" s="7" t="n">
        <f aca="false">IF(I51="","",I51*J51)</f>
        <v>80</v>
      </c>
      <c r="L51" s="8"/>
      <c r="M51" s="8"/>
      <c r="N51" s="8" t="str">
        <f aca="false">IF(L51="","",ROUND((L51+M51)/2/J51,0))</f>
        <v/>
      </c>
      <c r="O51" s="8" t="str">
        <f aca="false">IF(N51="","",N51*Weights!$B$12)</f>
        <v/>
      </c>
      <c r="P51" s="7" t="s">
        <v>114</v>
      </c>
      <c r="Q51" s="7" t="s">
        <v>100</v>
      </c>
      <c r="R51" s="7" t="s">
        <v>517</v>
      </c>
      <c r="S51" s="7"/>
      <c r="T51" s="7" t="s">
        <v>83</v>
      </c>
      <c r="U51" s="7"/>
      <c r="V51" s="7"/>
      <c r="W51" s="7" t="s">
        <v>523</v>
      </c>
      <c r="X51" s="7" t="s">
        <v>519</v>
      </c>
      <c r="Y51" s="7"/>
      <c r="Z51" s="7"/>
      <c r="AA51" s="7"/>
      <c r="AB51" s="7"/>
      <c r="AC51" s="7" t="s">
        <v>520</v>
      </c>
      <c r="AD51" s="7" t="s">
        <v>521</v>
      </c>
      <c r="AE51" s="9" t="n">
        <f aca="false">IF(LEFT(E51,2)="SF",IF(F51="",0,Weights!$B$2*MAX(0,MIN(1,(Weights!$B$9-F51)/(Weights!$B$9-Weights!$B$8)))),0)</f>
        <v>0</v>
      </c>
      <c r="AF51" s="9" t="n">
        <f aca="false">IF(N51="",5,Weights!$B$3*MAX(0,MIN(1,(Weights!$B$7-N51)/(Weights!$B$7-Weights!$B$6))))</f>
        <v>5</v>
      </c>
      <c r="AG51" s="9" t="n">
        <f aca="false">IF(P51="none",0,IF(P51="unknown",5,Weights!$B$4))</f>
        <v>15</v>
      </c>
      <c r="AH51" s="9" t="n">
        <f aca="false">IF(K51="",4,IF(AND(K51&gt;=Weights!$B$13,K51&lt;=Weights!$B$14),Weights!$B$5,IF(K51&gt;100,15,IF(K51&gt;=20,12,4))))</f>
        <v>12</v>
      </c>
      <c r="AI51" s="10" t="n">
        <f aca="false">IF(OR(Q51="taken",Q51="sold",Q51="ruled-out"),0,MIN(IF(AND(H51="tourist-hotel",P51="none"),Weights!$B$11,100),AE51+AF51+AG51+AH51)+IF(T51="yes",Weights!$B$10,0))</f>
        <v>32</v>
      </c>
      <c r="AJ51" s="7" t="s">
        <v>92</v>
      </c>
      <c r="AK51" s="7" t="s">
        <v>93</v>
      </c>
    </row>
    <row r="52" customFormat="false" ht="113.4" hidden="false" customHeight="false" outlineLevel="0" collapsed="false">
      <c r="A52" s="7" t="n">
        <f aca="false">RANK(AI52,$AI$2:$AI$70)</f>
        <v>14</v>
      </c>
      <c r="B52" s="7" t="s">
        <v>524</v>
      </c>
      <c r="C52" s="7" t="s">
        <v>525</v>
      </c>
      <c r="D52" s="7" t="s">
        <v>126</v>
      </c>
      <c r="E52" s="7" t="s">
        <v>127</v>
      </c>
      <c r="F52" s="7" t="n">
        <v>6</v>
      </c>
      <c r="G52" s="7" t="s">
        <v>77</v>
      </c>
      <c r="H52" s="7" t="s">
        <v>113</v>
      </c>
      <c r="I52" s="7" t="n">
        <v>44</v>
      </c>
      <c r="J52" s="7" t="n">
        <v>1</v>
      </c>
      <c r="K52" s="7" t="n">
        <f aca="false">IF(I52="","",I52*J52)</f>
        <v>44</v>
      </c>
      <c r="L52" s="8" t="n">
        <v>1800</v>
      </c>
      <c r="M52" s="8" t="n">
        <v>2400</v>
      </c>
      <c r="N52" s="8" t="n">
        <f aca="false">IF(L52="","",ROUND((L52+M52)/2/J52,0))</f>
        <v>2100</v>
      </c>
      <c r="O52" s="8" t="n">
        <f aca="false">IF(N52="","",N52*Weights!$B$12)</f>
        <v>94500</v>
      </c>
      <c r="P52" s="7" t="s">
        <v>114</v>
      </c>
      <c r="Q52" s="7" t="s">
        <v>100</v>
      </c>
      <c r="R52" s="7" t="s">
        <v>517</v>
      </c>
      <c r="S52" s="7" t="s">
        <v>101</v>
      </c>
      <c r="T52" s="7" t="s">
        <v>83</v>
      </c>
      <c r="U52" s="7"/>
      <c r="V52" s="7"/>
      <c r="W52" s="7" t="s">
        <v>526</v>
      </c>
      <c r="X52" s="7" t="s">
        <v>519</v>
      </c>
      <c r="Y52" s="7" t="s">
        <v>527</v>
      </c>
      <c r="Z52" s="7" t="s">
        <v>88</v>
      </c>
      <c r="AA52" s="7" t="s">
        <v>528</v>
      </c>
      <c r="AB52" s="7" t="s">
        <v>134</v>
      </c>
      <c r="AC52" s="7" t="s">
        <v>520</v>
      </c>
      <c r="AD52" s="7" t="s">
        <v>521</v>
      </c>
      <c r="AE52" s="9" t="n">
        <f aca="false">IF(LEFT(E52,2)="SF",IF(F52="",0,Weights!$B$2*MAX(0,MIN(1,(Weights!$B$9-F52)/(Weights!$B$9-Weights!$B$8)))),0)</f>
        <v>35</v>
      </c>
      <c r="AF52" s="9" t="n">
        <f aca="false">IF(N52="",5,Weights!$B$3*MAX(0,MIN(1,(Weights!$B$7-N52)/(Weights!$B$7-Weights!$B$6))))</f>
        <v>2.5</v>
      </c>
      <c r="AG52" s="9" t="n">
        <f aca="false">IF(P52="none",0,IF(P52="unknown",5,Weights!$B$4))</f>
        <v>15</v>
      </c>
      <c r="AH52" s="9" t="n">
        <f aca="false">IF(K52="",4,IF(AND(K52&gt;=Weights!$B$13,K52&lt;=Weights!$B$14),Weights!$B$5,IF(K52&gt;100,15,IF(K52&gt;=20,12,4))))</f>
        <v>20</v>
      </c>
      <c r="AI52" s="10" t="n">
        <f aca="false">IF(OR(Q52="taken",Q52="sold",Q52="ruled-out"),0,MIN(IF(AND(H52="tourist-hotel",P52="none"),Weights!$B$11,100),AE52+AF52+AG52+AH52)+IF(T52="yes",Weights!$B$10,0))</f>
        <v>72.5</v>
      </c>
      <c r="AJ52" s="7" t="s">
        <v>92</v>
      </c>
      <c r="AK52" s="7" t="s">
        <v>93</v>
      </c>
    </row>
    <row r="53" customFormat="false" ht="91" hidden="false" customHeight="false" outlineLevel="0" collapsed="false">
      <c r="A53" s="7" t="n">
        <f aca="false">RANK(AI53,$AI$2:$AI$70)</f>
        <v>38</v>
      </c>
      <c r="B53" s="7" t="s">
        <v>529</v>
      </c>
      <c r="C53" s="7" t="s">
        <v>530</v>
      </c>
      <c r="D53" s="7" t="s">
        <v>139</v>
      </c>
      <c r="E53" s="7" t="s">
        <v>127</v>
      </c>
      <c r="F53" s="7" t="n">
        <v>10</v>
      </c>
      <c r="G53" s="7" t="s">
        <v>77</v>
      </c>
      <c r="H53" s="7" t="s">
        <v>78</v>
      </c>
      <c r="I53" s="7" t="n">
        <v>69</v>
      </c>
      <c r="J53" s="7" t="n">
        <v>1</v>
      </c>
      <c r="K53" s="7" t="n">
        <f aca="false">IF(I53="","",I53*J53)</f>
        <v>69</v>
      </c>
      <c r="L53" s="8" t="n">
        <v>1200</v>
      </c>
      <c r="M53" s="8" t="n">
        <v>2500</v>
      </c>
      <c r="N53" s="8" t="n">
        <f aca="false">IF(L53="","",ROUND((L53+M53)/2/J53,0))</f>
        <v>1850</v>
      </c>
      <c r="O53" s="8" t="n">
        <f aca="false">IF(N53="","",N53*Weights!$B$12)</f>
        <v>83250</v>
      </c>
      <c r="P53" s="7" t="s">
        <v>79</v>
      </c>
      <c r="Q53" s="7" t="s">
        <v>100</v>
      </c>
      <c r="R53" s="7" t="s">
        <v>517</v>
      </c>
      <c r="S53" s="7" t="s">
        <v>101</v>
      </c>
      <c r="T53" s="7" t="s">
        <v>83</v>
      </c>
      <c r="U53" s="7"/>
      <c r="V53" s="7"/>
      <c r="W53" s="7" t="s">
        <v>531</v>
      </c>
      <c r="X53" s="7" t="s">
        <v>532</v>
      </c>
      <c r="Y53" s="7" t="s">
        <v>533</v>
      </c>
      <c r="Z53" s="7" t="s">
        <v>534</v>
      </c>
      <c r="AA53" s="7" t="s">
        <v>535</v>
      </c>
      <c r="AB53" s="7" t="s">
        <v>408</v>
      </c>
      <c r="AC53" s="7" t="s">
        <v>536</v>
      </c>
      <c r="AD53" s="7" t="s">
        <v>537</v>
      </c>
      <c r="AE53" s="9" t="n">
        <f aca="false">IF(LEFT(E53,2)="SF",IF(F53="",0,Weights!$B$2*MAX(0,MIN(1,(Weights!$B$9-F53)/(Weights!$B$9-Weights!$B$8)))),0)</f>
        <v>35</v>
      </c>
      <c r="AF53" s="9" t="n">
        <f aca="false">IF(N53="",5,Weights!$B$3*MAX(0,MIN(1,(Weights!$B$7-N53)/(Weights!$B$7-Weights!$B$6))))</f>
        <v>8.75</v>
      </c>
      <c r="AG53" s="9" t="n">
        <f aca="false">IF(P53="none",0,IF(P53="unknown",5,Weights!$B$4))</f>
        <v>0</v>
      </c>
      <c r="AH53" s="9" t="n">
        <f aca="false">IF(K53="",4,IF(AND(K53&gt;=Weights!$B$13,K53&lt;=Weights!$B$14),Weights!$B$5,IF(K53&gt;100,15,IF(K53&gt;=20,12,4))))</f>
        <v>12</v>
      </c>
      <c r="AI53" s="10" t="n">
        <f aca="false">IF(OR(Q53="taken",Q53="sold",Q53="ruled-out"),0,MIN(IF(AND(H53="tourist-hotel",P53="none"),Weights!$B$11,100),AE53+AF53+AG53+AH53)+IF(T53="yes",Weights!$B$10,0))</f>
        <v>40</v>
      </c>
      <c r="AJ53" s="7" t="s">
        <v>92</v>
      </c>
      <c r="AK53" s="7" t="s">
        <v>93</v>
      </c>
    </row>
    <row r="54" customFormat="false" ht="68.65" hidden="false" customHeight="false" outlineLevel="0" collapsed="false">
      <c r="A54" s="7" t="n">
        <f aca="false">RANK(AI54,$AI$2:$AI$70)</f>
        <v>38</v>
      </c>
      <c r="B54" s="7" t="s">
        <v>538</v>
      </c>
      <c r="C54" s="7" t="s">
        <v>539</v>
      </c>
      <c r="D54" s="7" t="s">
        <v>126</v>
      </c>
      <c r="E54" s="7" t="s">
        <v>127</v>
      </c>
      <c r="F54" s="7" t="n">
        <v>10</v>
      </c>
      <c r="G54" s="7" t="s">
        <v>77</v>
      </c>
      <c r="H54" s="7" t="s">
        <v>78</v>
      </c>
      <c r="I54" s="7" t="n">
        <v>68</v>
      </c>
      <c r="J54" s="7" t="n">
        <v>1</v>
      </c>
      <c r="K54" s="7" t="n">
        <f aca="false">IF(I54="","",I54*J54)</f>
        <v>68</v>
      </c>
      <c r="L54" s="8" t="n">
        <v>1200</v>
      </c>
      <c r="M54" s="8" t="n">
        <v>2500</v>
      </c>
      <c r="N54" s="8" t="n">
        <f aca="false">IF(L54="","",ROUND((L54+M54)/2/J54,0))</f>
        <v>1850</v>
      </c>
      <c r="O54" s="8" t="n">
        <f aca="false">IF(N54="","",N54*Weights!$B$12)</f>
        <v>83250</v>
      </c>
      <c r="P54" s="7" t="s">
        <v>79</v>
      </c>
      <c r="Q54" s="7" t="s">
        <v>100</v>
      </c>
      <c r="R54" s="7" t="s">
        <v>517</v>
      </c>
      <c r="S54" s="7" t="s">
        <v>101</v>
      </c>
      <c r="T54" s="7" t="s">
        <v>83</v>
      </c>
      <c r="U54" s="7"/>
      <c r="V54" s="7"/>
      <c r="W54" s="7" t="s">
        <v>540</v>
      </c>
      <c r="X54" s="7" t="s">
        <v>541</v>
      </c>
      <c r="Y54" s="7" t="s">
        <v>542</v>
      </c>
      <c r="Z54" s="7" t="s">
        <v>543</v>
      </c>
      <c r="AA54" s="7" t="s">
        <v>107</v>
      </c>
      <c r="AB54" s="7" t="s">
        <v>408</v>
      </c>
      <c r="AC54" s="7" t="s">
        <v>544</v>
      </c>
      <c r="AD54" s="7" t="s">
        <v>545</v>
      </c>
      <c r="AE54" s="9" t="n">
        <f aca="false">IF(LEFT(E54,2)="SF",IF(F54="",0,Weights!$B$2*MAX(0,MIN(1,(Weights!$B$9-F54)/(Weights!$B$9-Weights!$B$8)))),0)</f>
        <v>35</v>
      </c>
      <c r="AF54" s="9" t="n">
        <f aca="false">IF(N54="",5,Weights!$B$3*MAX(0,MIN(1,(Weights!$B$7-N54)/(Weights!$B$7-Weights!$B$6))))</f>
        <v>8.75</v>
      </c>
      <c r="AG54" s="9" t="n">
        <f aca="false">IF(P54="none",0,IF(P54="unknown",5,Weights!$B$4))</f>
        <v>0</v>
      </c>
      <c r="AH54" s="9" t="n">
        <f aca="false">IF(K54="",4,IF(AND(K54&gt;=Weights!$B$13,K54&lt;=Weights!$B$14),Weights!$B$5,IF(K54&gt;100,15,IF(K54&gt;=20,12,4))))</f>
        <v>12</v>
      </c>
      <c r="AI54" s="10" t="n">
        <f aca="false">IF(OR(Q54="taken",Q54="sold",Q54="ruled-out"),0,MIN(IF(AND(H54="tourist-hotel",P54="none"),Weights!$B$11,100),AE54+AF54+AG54+AH54)+IF(T54="yes",Weights!$B$10,0))</f>
        <v>40</v>
      </c>
      <c r="AJ54" s="7" t="s">
        <v>92</v>
      </c>
      <c r="AK54" s="7" t="s">
        <v>93</v>
      </c>
    </row>
    <row r="55" customFormat="false" ht="79.85" hidden="false" customHeight="false" outlineLevel="0" collapsed="false">
      <c r="A55" s="7" t="n">
        <f aca="false">RANK(AI55,$AI$2:$AI$70)</f>
        <v>12</v>
      </c>
      <c r="B55" s="7" t="s">
        <v>546</v>
      </c>
      <c r="C55" s="7" t="s">
        <v>547</v>
      </c>
      <c r="D55" s="7" t="s">
        <v>150</v>
      </c>
      <c r="E55" s="7" t="s">
        <v>127</v>
      </c>
      <c r="F55" s="7" t="n">
        <v>20</v>
      </c>
      <c r="G55" s="7" t="s">
        <v>77</v>
      </c>
      <c r="H55" s="7" t="s">
        <v>151</v>
      </c>
      <c r="I55" s="7" t="n">
        <v>80</v>
      </c>
      <c r="J55" s="7" t="n">
        <v>1</v>
      </c>
      <c r="K55" s="7" t="n">
        <f aca="false">IF(I55="","",I55*J55)</f>
        <v>80</v>
      </c>
      <c r="L55" s="8" t="n">
        <v>1100</v>
      </c>
      <c r="M55" s="8" t="n">
        <v>1500</v>
      </c>
      <c r="N55" s="8" t="n">
        <f aca="false">IF(L55="","",ROUND((L55+M55)/2/J55,0))</f>
        <v>1300</v>
      </c>
      <c r="O55" s="8" t="n">
        <f aca="false">IF(N55="","",N55*Weights!$B$12)</f>
        <v>58500</v>
      </c>
      <c r="P55" s="7" t="s">
        <v>99</v>
      </c>
      <c r="Q55" s="7" t="s">
        <v>100</v>
      </c>
      <c r="R55" s="7" t="s">
        <v>517</v>
      </c>
      <c r="S55" s="7" t="s">
        <v>128</v>
      </c>
      <c r="T55" s="7" t="s">
        <v>83</v>
      </c>
      <c r="U55" s="7" t="s">
        <v>116</v>
      </c>
      <c r="V55" s="7"/>
      <c r="W55" s="7" t="s">
        <v>548</v>
      </c>
      <c r="X55" s="7" t="s">
        <v>549</v>
      </c>
      <c r="Y55" s="7" t="s">
        <v>550</v>
      </c>
      <c r="Z55" s="7" t="s">
        <v>551</v>
      </c>
      <c r="AA55" s="7" t="s">
        <v>552</v>
      </c>
      <c r="AB55" s="7" t="s">
        <v>89</v>
      </c>
      <c r="AC55" s="7" t="s">
        <v>553</v>
      </c>
      <c r="AD55" s="7" t="s">
        <v>554</v>
      </c>
      <c r="AE55" s="9" t="n">
        <f aca="false">IF(LEFT(E55,2)="SF",IF(F55="",0,Weights!$B$2*MAX(0,MIN(1,(Weights!$B$9-F55)/(Weights!$B$9-Weights!$B$8)))),0)</f>
        <v>25</v>
      </c>
      <c r="AF55" s="9" t="n">
        <f aca="false">IF(N55="",5,Weights!$B$3*MAX(0,MIN(1,(Weights!$B$7-N55)/(Weights!$B$7-Weights!$B$6))))</f>
        <v>22.5</v>
      </c>
      <c r="AG55" s="9" t="n">
        <f aca="false">IF(P55="none",0,IF(P55="unknown",5,Weights!$B$4))</f>
        <v>15</v>
      </c>
      <c r="AH55" s="9" t="n">
        <f aca="false">IF(K55="",4,IF(AND(K55&gt;=Weights!$B$13,K55&lt;=Weights!$B$14),Weights!$B$5,IF(K55&gt;100,15,IF(K55&gt;=20,12,4))))</f>
        <v>12</v>
      </c>
      <c r="AI55" s="10" t="n">
        <f aca="false">IF(OR(Q55="taken",Q55="sold",Q55="ruled-out"),0,MIN(IF(AND(H55="tourist-hotel",P55="none"),Weights!$B$11,100),AE55+AF55+AG55+AH55)+IF(T55="yes",Weights!$B$10,0))</f>
        <v>74.5</v>
      </c>
      <c r="AJ55" s="7" t="s">
        <v>92</v>
      </c>
      <c r="AK55" s="7" t="s">
        <v>93</v>
      </c>
    </row>
    <row r="56" customFormat="false" ht="46.25" hidden="false" customHeight="false" outlineLevel="0" collapsed="false">
      <c r="A56" s="7" t="n">
        <f aca="false">RANK(AI56,$AI$2:$AI$70)</f>
        <v>58</v>
      </c>
      <c r="B56" s="7" t="s">
        <v>555</v>
      </c>
      <c r="C56" s="7" t="s">
        <v>556</v>
      </c>
      <c r="D56" s="7" t="s">
        <v>557</v>
      </c>
      <c r="E56" s="7" t="s">
        <v>76</v>
      </c>
      <c r="F56" s="7" t="n">
        <v>120</v>
      </c>
      <c r="G56" s="7" t="s">
        <v>77</v>
      </c>
      <c r="H56" s="7" t="s">
        <v>271</v>
      </c>
      <c r="I56" s="7" t="n">
        <v>72</v>
      </c>
      <c r="J56" s="7" t="n">
        <v>1</v>
      </c>
      <c r="K56" s="7" t="n">
        <f aca="false">IF(I56="","",I56*J56)</f>
        <v>72</v>
      </c>
      <c r="L56" s="8"/>
      <c r="M56" s="8"/>
      <c r="N56" s="8" t="str">
        <f aca="false">IF(L56="","",ROUND((L56+M56)/2/J56,0))</f>
        <v/>
      </c>
      <c r="O56" s="8" t="str">
        <f aca="false">IF(N56="","",N56*Weights!$B$12)</f>
        <v/>
      </c>
      <c r="P56" s="7" t="s">
        <v>99</v>
      </c>
      <c r="Q56" s="7" t="s">
        <v>100</v>
      </c>
      <c r="R56" s="7" t="s">
        <v>517</v>
      </c>
      <c r="S56" s="7"/>
      <c r="T56" s="7" t="s">
        <v>83</v>
      </c>
      <c r="U56" s="7"/>
      <c r="V56" s="7"/>
      <c r="W56" s="7" t="s">
        <v>558</v>
      </c>
      <c r="X56" s="7" t="s">
        <v>559</v>
      </c>
      <c r="Y56" s="7" t="s">
        <v>560</v>
      </c>
      <c r="Z56" s="7" t="s">
        <v>561</v>
      </c>
      <c r="AA56" s="7" t="s">
        <v>562</v>
      </c>
      <c r="AB56" s="7" t="s">
        <v>408</v>
      </c>
      <c r="AC56" s="7" t="s">
        <v>563</v>
      </c>
      <c r="AD56" s="7" t="s">
        <v>564</v>
      </c>
      <c r="AE56" s="9" t="n">
        <f aca="false">IF(LEFT(E56,2)="SF",IF(F56="",0,Weights!$B$2*MAX(0,MIN(1,(Weights!$B$9-F56)/(Weights!$B$9-Weights!$B$8)))),0)</f>
        <v>0</v>
      </c>
      <c r="AF56" s="9" t="n">
        <f aca="false">IF(N56="",5,Weights!$B$3*MAX(0,MIN(1,(Weights!$B$7-N56)/(Weights!$B$7-Weights!$B$6))))</f>
        <v>5</v>
      </c>
      <c r="AG56" s="9" t="n">
        <f aca="false">IF(P56="none",0,IF(P56="unknown",5,Weights!$B$4))</f>
        <v>15</v>
      </c>
      <c r="AH56" s="9" t="n">
        <f aca="false">IF(K56="",4,IF(AND(K56&gt;=Weights!$B$13,K56&lt;=Weights!$B$14),Weights!$B$5,IF(K56&gt;100,15,IF(K56&gt;=20,12,4))))</f>
        <v>12</v>
      </c>
      <c r="AI56" s="10" t="n">
        <f aca="false">IF(OR(Q56="taken",Q56="sold",Q56="ruled-out"),0,MIN(IF(AND(H56="tourist-hotel",P56="none"),Weights!$B$11,100),AE56+AF56+AG56+AH56)+IF(T56="yes",Weights!$B$10,0))</f>
        <v>32</v>
      </c>
      <c r="AJ56" s="7" t="s">
        <v>92</v>
      </c>
      <c r="AK56" s="7" t="s">
        <v>93</v>
      </c>
    </row>
    <row r="57" customFormat="false" ht="46.25" hidden="false" customHeight="false" outlineLevel="0" collapsed="false">
      <c r="A57" s="7" t="n">
        <f aca="false">RANK(AI57,$AI$2:$AI$70)</f>
        <v>64</v>
      </c>
      <c r="B57" s="7" t="s">
        <v>565</v>
      </c>
      <c r="C57" s="7" t="s">
        <v>566</v>
      </c>
      <c r="D57" s="7" t="s">
        <v>567</v>
      </c>
      <c r="E57" s="7" t="s">
        <v>97</v>
      </c>
      <c r="F57" s="7" t="n">
        <v>50</v>
      </c>
      <c r="G57" s="7" t="s">
        <v>77</v>
      </c>
      <c r="H57" s="7" t="s">
        <v>78</v>
      </c>
      <c r="I57" s="7" t="n">
        <v>29</v>
      </c>
      <c r="J57" s="7" t="n">
        <v>1</v>
      </c>
      <c r="K57" s="7" t="n">
        <f aca="false">IF(I57="","",I57*J57)</f>
        <v>29</v>
      </c>
      <c r="L57" s="8" t="n">
        <v>1500</v>
      </c>
      <c r="M57" s="8" t="n">
        <v>2500</v>
      </c>
      <c r="N57" s="8" t="n">
        <f aca="false">IF(L57="","",ROUND((L57+M57)/2/J57,0))</f>
        <v>2000</v>
      </c>
      <c r="O57" s="8" t="n">
        <f aca="false">IF(N57="","",N57*Weights!$B$12)</f>
        <v>90000</v>
      </c>
      <c r="P57" s="7" t="s">
        <v>79</v>
      </c>
      <c r="Q57" s="7" t="s">
        <v>100</v>
      </c>
      <c r="R57" s="7" t="s">
        <v>517</v>
      </c>
      <c r="S57" s="7"/>
      <c r="T57" s="7" t="s">
        <v>83</v>
      </c>
      <c r="U57" s="7"/>
      <c r="V57" s="7"/>
      <c r="W57" s="7" t="s">
        <v>568</v>
      </c>
      <c r="X57" s="7" t="s">
        <v>569</v>
      </c>
      <c r="Y57" s="7" t="s">
        <v>570</v>
      </c>
      <c r="Z57" s="7" t="s">
        <v>571</v>
      </c>
      <c r="AA57" s="7" t="s">
        <v>572</v>
      </c>
      <c r="AB57" s="7" t="s">
        <v>408</v>
      </c>
      <c r="AC57" s="7" t="s">
        <v>573</v>
      </c>
      <c r="AD57" s="7" t="s">
        <v>574</v>
      </c>
      <c r="AE57" s="9" t="n">
        <f aca="false">IF(LEFT(E57,2)="SF",IF(F57="",0,Weights!$B$2*MAX(0,MIN(1,(Weights!$B$9-F57)/(Weights!$B$9-Weights!$B$8)))),0)</f>
        <v>0</v>
      </c>
      <c r="AF57" s="9" t="n">
        <f aca="false">IF(N57="",5,Weights!$B$3*MAX(0,MIN(1,(Weights!$B$7-N57)/(Weights!$B$7-Weights!$B$6))))</f>
        <v>5</v>
      </c>
      <c r="AG57" s="9" t="n">
        <f aca="false">IF(P57="none",0,IF(P57="unknown",5,Weights!$B$4))</f>
        <v>0</v>
      </c>
      <c r="AH57" s="9" t="n">
        <f aca="false">IF(K57="",4,IF(AND(K57&gt;=Weights!$B$13,K57&lt;=Weights!$B$14),Weights!$B$5,IF(K57&gt;100,15,IF(K57&gt;=20,12,4))))</f>
        <v>12</v>
      </c>
      <c r="AI57" s="10" t="n">
        <f aca="false">IF(OR(Q57="taken",Q57="sold",Q57="ruled-out"),0,MIN(IF(AND(H57="tourist-hotel",P57="none"),Weights!$B$11,100),AE57+AF57+AG57+AH57)+IF(T57="yes",Weights!$B$10,0))</f>
        <v>17</v>
      </c>
      <c r="AJ57" s="7" t="s">
        <v>92</v>
      </c>
      <c r="AK57" s="7" t="s">
        <v>93</v>
      </c>
    </row>
    <row r="58" customFormat="false" ht="46.25" hidden="false" customHeight="false" outlineLevel="0" collapsed="false">
      <c r="A58" s="7" t="n">
        <f aca="false">RANK(AI58,$AI$2:$AI$70)</f>
        <v>51</v>
      </c>
      <c r="B58" s="7" t="s">
        <v>575</v>
      </c>
      <c r="C58" s="7" t="s">
        <v>576</v>
      </c>
      <c r="D58" s="7" t="s">
        <v>577</v>
      </c>
      <c r="E58" s="7" t="s">
        <v>578</v>
      </c>
      <c r="F58" s="7" t="n">
        <v>240</v>
      </c>
      <c r="G58" s="7" t="s">
        <v>77</v>
      </c>
      <c r="H58" s="7" t="s">
        <v>271</v>
      </c>
      <c r="I58" s="7" t="n">
        <v>100</v>
      </c>
      <c r="J58" s="7" t="n">
        <v>2</v>
      </c>
      <c r="K58" s="7" t="n">
        <f aca="false">IF(I58="","",I58*J58)</f>
        <v>200</v>
      </c>
      <c r="L58" s="8"/>
      <c r="M58" s="8"/>
      <c r="N58" s="8" t="str">
        <f aca="false">IF(L58="","",ROUND((L58+M58)/2/J58,0))</f>
        <v/>
      </c>
      <c r="O58" s="8" t="str">
        <f aca="false">IF(N58="","",N58*Weights!$B$12)</f>
        <v/>
      </c>
      <c r="P58" s="7" t="s">
        <v>99</v>
      </c>
      <c r="Q58" s="7" t="s">
        <v>100</v>
      </c>
      <c r="R58" s="7" t="s">
        <v>517</v>
      </c>
      <c r="S58" s="7"/>
      <c r="T58" s="7" t="s">
        <v>83</v>
      </c>
      <c r="U58" s="7"/>
      <c r="V58" s="7"/>
      <c r="W58" s="7" t="s">
        <v>579</v>
      </c>
      <c r="X58" s="7" t="s">
        <v>580</v>
      </c>
      <c r="Y58" s="7" t="s">
        <v>581</v>
      </c>
      <c r="Z58" s="7" t="s">
        <v>582</v>
      </c>
      <c r="AA58" s="7" t="s">
        <v>583</v>
      </c>
      <c r="AB58" s="7" t="s">
        <v>408</v>
      </c>
      <c r="AC58" s="7" t="s">
        <v>584</v>
      </c>
      <c r="AD58" s="7" t="s">
        <v>585</v>
      </c>
      <c r="AE58" s="9" t="n">
        <f aca="false">IF(LEFT(E58,2)="SF",IF(F58="",0,Weights!$B$2*MAX(0,MIN(1,(Weights!$B$9-F58)/(Weights!$B$9-Weights!$B$8)))),0)</f>
        <v>0</v>
      </c>
      <c r="AF58" s="9" t="n">
        <f aca="false">IF(N58="",5,Weights!$B$3*MAX(0,MIN(1,(Weights!$B$7-N58)/(Weights!$B$7-Weights!$B$6))))</f>
        <v>5</v>
      </c>
      <c r="AG58" s="9" t="n">
        <f aca="false">IF(P58="none",0,IF(P58="unknown",5,Weights!$B$4))</f>
        <v>15</v>
      </c>
      <c r="AH58" s="9" t="n">
        <f aca="false">IF(K58="",4,IF(AND(K58&gt;=Weights!$B$13,K58&lt;=Weights!$B$14),Weights!$B$5,IF(K58&gt;100,15,IF(K58&gt;=20,12,4))))</f>
        <v>15</v>
      </c>
      <c r="AI58" s="10" t="n">
        <f aca="false">IF(OR(Q58="taken",Q58="sold",Q58="ruled-out"),0,MIN(IF(AND(H58="tourist-hotel",P58="none"),Weights!$B$11,100),AE58+AF58+AG58+AH58)+IF(T58="yes",Weights!$B$10,0))</f>
        <v>35</v>
      </c>
      <c r="AJ58" s="7" t="s">
        <v>92</v>
      </c>
      <c r="AK58" s="7" t="s">
        <v>93</v>
      </c>
    </row>
    <row r="59" customFormat="false" ht="135.8" hidden="false" customHeight="false" outlineLevel="0" collapsed="false">
      <c r="A59" s="7" t="n">
        <f aca="false">RANK(AI59,$AI$2:$AI$70)</f>
        <v>24</v>
      </c>
      <c r="B59" s="7" t="s">
        <v>586</v>
      </c>
      <c r="C59" s="7" t="s">
        <v>587</v>
      </c>
      <c r="D59" s="7" t="s">
        <v>588</v>
      </c>
      <c r="E59" s="7" t="s">
        <v>76</v>
      </c>
      <c r="F59" s="7" t="n">
        <v>70</v>
      </c>
      <c r="G59" s="7" t="s">
        <v>77</v>
      </c>
      <c r="H59" s="7" t="s">
        <v>151</v>
      </c>
      <c r="I59" s="7" t="n">
        <v>200</v>
      </c>
      <c r="J59" s="7" t="n">
        <v>2</v>
      </c>
      <c r="K59" s="7" t="n">
        <f aca="false">IF(I59="","",I59*J59)</f>
        <v>400</v>
      </c>
      <c r="L59" s="8" t="n">
        <v>1100</v>
      </c>
      <c r="M59" s="8" t="n">
        <v>1500</v>
      </c>
      <c r="N59" s="8" t="n">
        <f aca="false">IF(L59="","",ROUND((L59+M59)/2/J59,0))</f>
        <v>650</v>
      </c>
      <c r="O59" s="8" t="n">
        <f aca="false">IF(N59="","",N59*Weights!$B$12)</f>
        <v>29250</v>
      </c>
      <c r="P59" s="7" t="s">
        <v>99</v>
      </c>
      <c r="Q59" s="7" t="s">
        <v>140</v>
      </c>
      <c r="R59" s="7" t="s">
        <v>383</v>
      </c>
      <c r="S59" s="7" t="s">
        <v>82</v>
      </c>
      <c r="T59" s="7" t="s">
        <v>83</v>
      </c>
      <c r="U59" s="7"/>
      <c r="V59" s="7"/>
      <c r="W59" s="7" t="s">
        <v>589</v>
      </c>
      <c r="X59" s="7" t="s">
        <v>590</v>
      </c>
      <c r="Y59" s="7" t="s">
        <v>591</v>
      </c>
      <c r="Z59" s="7" t="s">
        <v>592</v>
      </c>
      <c r="AA59" s="7" t="s">
        <v>593</v>
      </c>
      <c r="AB59" s="7" t="s">
        <v>196</v>
      </c>
      <c r="AC59" s="7" t="s">
        <v>594</v>
      </c>
      <c r="AD59" s="7" t="s">
        <v>595</v>
      </c>
      <c r="AE59" s="9" t="n">
        <f aca="false">IF(LEFT(E59,2)="SF",IF(F59="",0,Weights!$B$2*MAX(0,MIN(1,(Weights!$B$9-F59)/(Weights!$B$9-Weights!$B$8)))),0)</f>
        <v>0</v>
      </c>
      <c r="AF59" s="9" t="n">
        <f aca="false">IF(N59="",5,Weights!$B$3*MAX(0,MIN(1,(Weights!$B$7-N59)/(Weights!$B$7-Weights!$B$6))))</f>
        <v>30</v>
      </c>
      <c r="AG59" s="9" t="n">
        <f aca="false">IF(P59="none",0,IF(P59="unknown",5,Weights!$B$4))</f>
        <v>15</v>
      </c>
      <c r="AH59" s="9" t="n">
        <f aca="false">IF(K59="",4,IF(AND(K59&gt;=Weights!$B$13,K59&lt;=Weights!$B$14),Weights!$B$5,IF(K59&gt;100,15,IF(K59&gt;=20,12,4))))</f>
        <v>15</v>
      </c>
      <c r="AI59" s="10" t="n">
        <f aca="false">IF(OR(Q59="taken",Q59="sold",Q59="ruled-out"),0,MIN(IF(AND(H59="tourist-hotel",P59="none"),Weights!$B$11,100),AE59+AF59+AG59+AH59)+IF(T59="yes",Weights!$B$10,0))</f>
        <v>60</v>
      </c>
      <c r="AJ59" s="7" t="s">
        <v>92</v>
      </c>
      <c r="AK59" s="7" t="s">
        <v>93</v>
      </c>
    </row>
    <row r="60" customFormat="false" ht="57.45" hidden="false" customHeight="false" outlineLevel="0" collapsed="false">
      <c r="A60" s="7" t="n">
        <f aca="false">RANK(AI60,$AI$2:$AI$70)</f>
        <v>16</v>
      </c>
      <c r="B60" s="7" t="s">
        <v>596</v>
      </c>
      <c r="C60" s="7" t="s">
        <v>597</v>
      </c>
      <c r="D60" s="7" t="s">
        <v>150</v>
      </c>
      <c r="E60" s="7" t="s">
        <v>127</v>
      </c>
      <c r="F60" s="7" t="n">
        <v>26</v>
      </c>
      <c r="G60" s="7" t="s">
        <v>77</v>
      </c>
      <c r="H60" s="7" t="s">
        <v>98</v>
      </c>
      <c r="I60" s="7" t="n">
        <v>50</v>
      </c>
      <c r="J60" s="7" t="n">
        <v>1</v>
      </c>
      <c r="K60" s="7" t="n">
        <f aca="false">IF(I60="","",I60*J60)</f>
        <v>50</v>
      </c>
      <c r="L60" s="8" t="n">
        <v>1800</v>
      </c>
      <c r="M60" s="8" t="n">
        <v>1800</v>
      </c>
      <c r="N60" s="8" t="n">
        <f aca="false">IF(L60="","",ROUND((L60+M60)/2/J60,0))</f>
        <v>1800</v>
      </c>
      <c r="O60" s="8" t="n">
        <f aca="false">IF(N60="","",N60*Weights!$B$12)</f>
        <v>81000</v>
      </c>
      <c r="P60" s="7" t="s">
        <v>99</v>
      </c>
      <c r="Q60" s="7" t="s">
        <v>115</v>
      </c>
      <c r="R60" s="7" t="s">
        <v>383</v>
      </c>
      <c r="S60" s="7" t="s">
        <v>598</v>
      </c>
      <c r="T60" s="7" t="s">
        <v>116</v>
      </c>
      <c r="U60" s="7"/>
      <c r="V60" s="7"/>
      <c r="W60" s="7" t="s">
        <v>599</v>
      </c>
      <c r="X60" s="7" t="s">
        <v>383</v>
      </c>
      <c r="Y60" s="7" t="s">
        <v>88</v>
      </c>
      <c r="Z60" s="7" t="s">
        <v>600</v>
      </c>
      <c r="AA60" s="7" t="s">
        <v>601</v>
      </c>
      <c r="AB60" s="7" t="s">
        <v>455</v>
      </c>
      <c r="AC60" s="7" t="s">
        <v>602</v>
      </c>
      <c r="AD60" s="7" t="s">
        <v>603</v>
      </c>
      <c r="AE60" s="9" t="n">
        <f aca="false">IF(LEFT(E60,2)="SF",IF(F60="",0,Weights!$B$2*MAX(0,MIN(1,(Weights!$B$9-F60)/(Weights!$B$9-Weights!$B$8)))),0)</f>
        <v>19</v>
      </c>
      <c r="AF60" s="9" t="n">
        <f aca="false">IF(N60="",5,Weights!$B$3*MAX(0,MIN(1,(Weights!$B$7-N60)/(Weights!$B$7-Weights!$B$6))))</f>
        <v>10</v>
      </c>
      <c r="AG60" s="9" t="n">
        <f aca="false">IF(P60="none",0,IF(P60="unknown",5,Weights!$B$4))</f>
        <v>15</v>
      </c>
      <c r="AH60" s="9" t="n">
        <f aca="false">IF(K60="",4,IF(AND(K60&gt;=Weights!$B$13,K60&lt;=Weights!$B$14),Weights!$B$5,IF(K60&gt;100,15,IF(K60&gt;=20,12,4))))</f>
        <v>20</v>
      </c>
      <c r="AI60" s="10" t="n">
        <f aca="false">IF(OR(Q60="taken",Q60="sold",Q60="ruled-out"),0,MIN(IF(AND(H60="tourist-hotel",P60="none"),Weights!$B$11,100),AE60+AF60+AG60+AH60)+IF(T60="yes",Weights!$B$10,0))</f>
        <v>69</v>
      </c>
      <c r="AJ60" s="7" t="s">
        <v>92</v>
      </c>
      <c r="AK60" s="7" t="s">
        <v>93</v>
      </c>
    </row>
    <row r="61" customFormat="false" ht="57.45" hidden="false" customHeight="false" outlineLevel="0" collapsed="false">
      <c r="A61" s="7" t="n">
        <f aca="false">RANK(AI61,$AI$2:$AI$70)</f>
        <v>13</v>
      </c>
      <c r="B61" s="7" t="s">
        <v>604</v>
      </c>
      <c r="C61" s="7" t="s">
        <v>605</v>
      </c>
      <c r="D61" s="7" t="s">
        <v>150</v>
      </c>
      <c r="E61" s="7" t="s">
        <v>127</v>
      </c>
      <c r="F61" s="7" t="n">
        <v>27</v>
      </c>
      <c r="G61" s="7" t="s">
        <v>77</v>
      </c>
      <c r="H61" s="7" t="s">
        <v>98</v>
      </c>
      <c r="I61" s="7" t="n">
        <v>50</v>
      </c>
      <c r="J61" s="7" t="n">
        <v>1</v>
      </c>
      <c r="K61" s="7" t="n">
        <f aca="false">IF(I61="","",I61*J61)</f>
        <v>50</v>
      </c>
      <c r="L61" s="8" t="n">
        <v>1600</v>
      </c>
      <c r="M61" s="8" t="n">
        <v>1600</v>
      </c>
      <c r="N61" s="8" t="n">
        <f aca="false">IF(L61="","",ROUND((L61+M61)/2/J61,0))</f>
        <v>1600</v>
      </c>
      <c r="O61" s="8" t="n">
        <f aca="false">IF(N61="","",N61*Weights!$B$12)</f>
        <v>72000</v>
      </c>
      <c r="P61" s="7" t="s">
        <v>99</v>
      </c>
      <c r="Q61" s="7" t="s">
        <v>115</v>
      </c>
      <c r="R61" s="7" t="s">
        <v>383</v>
      </c>
      <c r="S61" s="7" t="s">
        <v>598</v>
      </c>
      <c r="T61" s="7" t="s">
        <v>116</v>
      </c>
      <c r="U61" s="7"/>
      <c r="V61" s="7"/>
      <c r="W61" s="7" t="s">
        <v>606</v>
      </c>
      <c r="X61" s="7" t="s">
        <v>383</v>
      </c>
      <c r="Y61" s="7" t="s">
        <v>88</v>
      </c>
      <c r="Z61" s="7" t="s">
        <v>607</v>
      </c>
      <c r="AA61" s="7" t="s">
        <v>608</v>
      </c>
      <c r="AB61" s="7" t="s">
        <v>455</v>
      </c>
      <c r="AC61" s="7" t="s">
        <v>602</v>
      </c>
      <c r="AD61" s="7" t="s">
        <v>603</v>
      </c>
      <c r="AE61" s="9" t="n">
        <f aca="false">IF(LEFT(E61,2)="SF",IF(F61="",0,Weights!$B$2*MAX(0,MIN(1,(Weights!$B$9-F61)/(Weights!$B$9-Weights!$B$8)))),0)</f>
        <v>18</v>
      </c>
      <c r="AF61" s="9" t="n">
        <f aca="false">IF(N61="",5,Weights!$B$3*MAX(0,MIN(1,(Weights!$B$7-N61)/(Weights!$B$7-Weights!$B$6))))</f>
        <v>15</v>
      </c>
      <c r="AG61" s="9" t="n">
        <f aca="false">IF(P61="none",0,IF(P61="unknown",5,Weights!$B$4))</f>
        <v>15</v>
      </c>
      <c r="AH61" s="9" t="n">
        <f aca="false">IF(K61="",4,IF(AND(K61&gt;=Weights!$B$13,K61&lt;=Weights!$B$14),Weights!$B$5,IF(K61&gt;100,15,IF(K61&gt;=20,12,4))))</f>
        <v>20</v>
      </c>
      <c r="AI61" s="10" t="n">
        <f aca="false">IF(OR(Q61="taken",Q61="sold",Q61="ruled-out"),0,MIN(IF(AND(H61="tourist-hotel",P61="none"),Weights!$B$11,100),AE61+AF61+AG61+AH61)+IF(T61="yes",Weights!$B$10,0))</f>
        <v>73</v>
      </c>
      <c r="AJ61" s="7" t="s">
        <v>92</v>
      </c>
      <c r="AK61" s="7" t="s">
        <v>93</v>
      </c>
    </row>
    <row r="62" customFormat="false" ht="102.2" hidden="false" customHeight="false" outlineLevel="0" collapsed="false">
      <c r="A62" s="7" t="n">
        <f aca="false">RANK(AI62,$AI$2:$AI$70)</f>
        <v>51</v>
      </c>
      <c r="B62" s="7" t="s">
        <v>609</v>
      </c>
      <c r="C62" s="7" t="s">
        <v>610</v>
      </c>
      <c r="D62" s="7" t="s">
        <v>611</v>
      </c>
      <c r="E62" s="7" t="s">
        <v>76</v>
      </c>
      <c r="F62" s="7" t="n">
        <v>90</v>
      </c>
      <c r="G62" s="7" t="s">
        <v>77</v>
      </c>
      <c r="H62" s="7" t="s">
        <v>78</v>
      </c>
      <c r="I62" s="7" t="n">
        <v>120</v>
      </c>
      <c r="J62" s="7" t="n">
        <v>1</v>
      </c>
      <c r="K62" s="7" t="n">
        <f aca="false">IF(I62="","",I62*J62)</f>
        <v>120</v>
      </c>
      <c r="L62" s="8" t="n">
        <v>1500</v>
      </c>
      <c r="M62" s="8" t="n">
        <v>2500</v>
      </c>
      <c r="N62" s="8" t="n">
        <f aca="false">IF(L62="","",ROUND((L62+M62)/2/J62,0))</f>
        <v>2000</v>
      </c>
      <c r="O62" s="8" t="n">
        <f aca="false">IF(N62="","",N62*Weights!$B$12)</f>
        <v>90000</v>
      </c>
      <c r="P62" s="7" t="s">
        <v>114</v>
      </c>
      <c r="Q62" s="7" t="s">
        <v>115</v>
      </c>
      <c r="R62" s="7" t="s">
        <v>383</v>
      </c>
      <c r="S62" s="7"/>
      <c r="T62" s="7" t="s">
        <v>102</v>
      </c>
      <c r="U62" s="7"/>
      <c r="V62" s="7"/>
      <c r="W62" s="7" t="s">
        <v>612</v>
      </c>
      <c r="X62" s="7" t="s">
        <v>613</v>
      </c>
      <c r="Y62" s="7"/>
      <c r="Z62" s="7"/>
      <c r="AA62" s="7"/>
      <c r="AB62" s="7"/>
      <c r="AC62" s="7" t="s">
        <v>614</v>
      </c>
      <c r="AD62" s="7" t="s">
        <v>615</v>
      </c>
      <c r="AE62" s="9" t="n">
        <f aca="false">IF(LEFT(E62,2)="SF",IF(F62="",0,Weights!$B$2*MAX(0,MIN(1,(Weights!$B$9-F62)/(Weights!$B$9-Weights!$B$8)))),0)</f>
        <v>0</v>
      </c>
      <c r="AF62" s="9" t="n">
        <f aca="false">IF(N62="",5,Weights!$B$3*MAX(0,MIN(1,(Weights!$B$7-N62)/(Weights!$B$7-Weights!$B$6))))</f>
        <v>5</v>
      </c>
      <c r="AG62" s="9" t="n">
        <f aca="false">IF(P62="none",0,IF(P62="unknown",5,Weights!$B$4))</f>
        <v>15</v>
      </c>
      <c r="AH62" s="9" t="n">
        <f aca="false">IF(K62="",4,IF(AND(K62&gt;=Weights!$B$13,K62&lt;=Weights!$B$14),Weights!$B$5,IF(K62&gt;100,15,IF(K62&gt;=20,12,4))))</f>
        <v>15</v>
      </c>
      <c r="AI62" s="10" t="n">
        <f aca="false">IF(OR(Q62="taken",Q62="sold",Q62="ruled-out"),0,MIN(IF(AND(H62="tourist-hotel",P62="none"),Weights!$B$11,100),AE62+AF62+AG62+AH62)+IF(T62="yes",Weights!$B$10,0))</f>
        <v>35</v>
      </c>
      <c r="AJ62" s="7" t="s">
        <v>92</v>
      </c>
      <c r="AK62" s="7" t="s">
        <v>93</v>
      </c>
    </row>
    <row r="63" customFormat="false" ht="147" hidden="false" customHeight="false" outlineLevel="0" collapsed="false">
      <c r="A63" s="7" t="n">
        <f aca="false">RANK(AI63,$AI$2:$AI$70)</f>
        <v>65</v>
      </c>
      <c r="B63" s="7" t="s">
        <v>616</v>
      </c>
      <c r="C63" s="7" t="s">
        <v>617</v>
      </c>
      <c r="D63" s="7" t="s">
        <v>617</v>
      </c>
      <c r="E63" s="7" t="s">
        <v>97</v>
      </c>
      <c r="F63" s="7"/>
      <c r="G63" s="7" t="s">
        <v>77</v>
      </c>
      <c r="H63" s="7" t="s">
        <v>618</v>
      </c>
      <c r="I63" s="7"/>
      <c r="J63" s="7" t="n">
        <v>1</v>
      </c>
      <c r="K63" s="7" t="str">
        <f aca="false">IF(I63="","",I63*J63)</f>
        <v/>
      </c>
      <c r="L63" s="8"/>
      <c r="M63" s="8"/>
      <c r="N63" s="8" t="str">
        <f aca="false">IF(L63="","",ROUND((L63+M63)/2/J63,0))</f>
        <v/>
      </c>
      <c r="O63" s="8" t="str">
        <f aca="false">IF(N63="","",N63*Weights!$B$12)</f>
        <v/>
      </c>
      <c r="P63" s="7" t="s">
        <v>102</v>
      </c>
      <c r="Q63" s="7" t="s">
        <v>115</v>
      </c>
      <c r="R63" s="7" t="s">
        <v>383</v>
      </c>
      <c r="S63" s="7" t="s">
        <v>101</v>
      </c>
      <c r="T63" s="7" t="s">
        <v>102</v>
      </c>
      <c r="U63" s="7"/>
      <c r="V63" s="7"/>
      <c r="W63" s="7" t="s">
        <v>619</v>
      </c>
      <c r="X63" s="7" t="s">
        <v>620</v>
      </c>
      <c r="Y63" s="7"/>
      <c r="Z63" s="7"/>
      <c r="AA63" s="7"/>
      <c r="AB63" s="7"/>
      <c r="AC63" s="7" t="s">
        <v>621</v>
      </c>
      <c r="AD63" s="7" t="s">
        <v>622</v>
      </c>
      <c r="AE63" s="9" t="n">
        <f aca="false">IF(LEFT(E63,2)="SF",IF(F63="",0,Weights!$B$2*MAX(0,MIN(1,(Weights!$B$9-F63)/(Weights!$B$9-Weights!$B$8)))),0)</f>
        <v>0</v>
      </c>
      <c r="AF63" s="9" t="n">
        <f aca="false">IF(N63="",5,Weights!$B$3*MAX(0,MIN(1,(Weights!$B$7-N63)/(Weights!$B$7-Weights!$B$6))))</f>
        <v>5</v>
      </c>
      <c r="AG63" s="9" t="n">
        <f aca="false">IF(P63="none",0,IF(P63="unknown",5,Weights!$B$4))</f>
        <v>5</v>
      </c>
      <c r="AH63" s="9" t="n">
        <f aca="false">IF(K63="",4,IF(AND(K63&gt;=Weights!$B$13,K63&lt;=Weights!$B$14),Weights!$B$5,IF(K63&gt;100,15,IF(K63&gt;=20,12,4))))</f>
        <v>4</v>
      </c>
      <c r="AI63" s="10" t="n">
        <f aca="false">IF(OR(Q63="taken",Q63="sold",Q63="ruled-out"),0,MIN(IF(AND(H63="tourist-hotel",P63="none"),Weights!$B$11,100),AE63+AF63+AG63+AH63)+IF(T63="yes",Weights!$B$10,0))</f>
        <v>14</v>
      </c>
      <c r="AJ63" s="7" t="s">
        <v>92</v>
      </c>
      <c r="AK63" s="7" t="s">
        <v>93</v>
      </c>
    </row>
    <row r="64" customFormat="false" ht="46.25" hidden="false" customHeight="false" outlineLevel="0" collapsed="false">
      <c r="A64" s="7" t="n">
        <f aca="false">RANK(AI64,$AI$2:$AI$70)</f>
        <v>28</v>
      </c>
      <c r="B64" s="7" t="s">
        <v>623</v>
      </c>
      <c r="C64" s="7" t="s">
        <v>624</v>
      </c>
      <c r="D64" s="7" t="s">
        <v>96</v>
      </c>
      <c r="E64" s="7" t="s">
        <v>97</v>
      </c>
      <c r="F64" s="7" t="n">
        <v>40</v>
      </c>
      <c r="G64" s="7" t="s">
        <v>77</v>
      </c>
      <c r="H64" s="7" t="s">
        <v>179</v>
      </c>
      <c r="I64" s="7" t="n">
        <v>40</v>
      </c>
      <c r="J64" s="7" t="n">
        <v>1</v>
      </c>
      <c r="K64" s="7" t="n">
        <f aca="false">IF(I64="","",I64*J64)</f>
        <v>40</v>
      </c>
      <c r="L64" s="8" t="n">
        <v>1625</v>
      </c>
      <c r="M64" s="8" t="n">
        <v>1625</v>
      </c>
      <c r="N64" s="8" t="n">
        <f aca="false">IF(L64="","",ROUND((L64+M64)/2/J64,0))</f>
        <v>1625</v>
      </c>
      <c r="O64" s="8" t="n">
        <f aca="false">IF(N64="","",N64*Weights!$B$12)</f>
        <v>73125</v>
      </c>
      <c r="P64" s="7" t="s">
        <v>99</v>
      </c>
      <c r="Q64" s="7" t="s">
        <v>115</v>
      </c>
      <c r="R64" s="7" t="s">
        <v>391</v>
      </c>
      <c r="S64" s="7" t="s">
        <v>598</v>
      </c>
      <c r="T64" s="7" t="s">
        <v>102</v>
      </c>
      <c r="U64" s="7"/>
      <c r="V64" s="7"/>
      <c r="W64" s="7" t="s">
        <v>625</v>
      </c>
      <c r="X64" s="7" t="s">
        <v>626</v>
      </c>
      <c r="Y64" s="7" t="s">
        <v>627</v>
      </c>
      <c r="Z64" s="7" t="s">
        <v>88</v>
      </c>
      <c r="AA64" s="7" t="s">
        <v>628</v>
      </c>
      <c r="AB64" s="7" t="s">
        <v>455</v>
      </c>
      <c r="AC64" s="7" t="s">
        <v>629</v>
      </c>
      <c r="AD64" s="7" t="s">
        <v>630</v>
      </c>
      <c r="AE64" s="9" t="n">
        <f aca="false">IF(LEFT(E64,2)="SF",IF(F64="",0,Weights!$B$2*MAX(0,MIN(1,(Weights!$B$9-F64)/(Weights!$B$9-Weights!$B$8)))),0)</f>
        <v>5</v>
      </c>
      <c r="AF64" s="9" t="n">
        <f aca="false">IF(N64="",5,Weights!$B$3*MAX(0,MIN(1,(Weights!$B$7-N64)/(Weights!$B$7-Weights!$B$6))))</f>
        <v>14.375</v>
      </c>
      <c r="AG64" s="9" t="n">
        <f aca="false">IF(P64="none",0,IF(P64="unknown",5,Weights!$B$4))</f>
        <v>15</v>
      </c>
      <c r="AH64" s="9" t="n">
        <f aca="false">IF(K64="",4,IF(AND(K64&gt;=Weights!$B$13,K64&lt;=Weights!$B$14),Weights!$B$5,IF(K64&gt;100,15,IF(K64&gt;=20,12,4))))</f>
        <v>20</v>
      </c>
      <c r="AI64" s="10" t="n">
        <f aca="false">IF(OR(Q64="taken",Q64="sold",Q64="ruled-out"),0,MIN(IF(AND(H64="tourist-hotel",P64="none"),Weights!$B$11,100),AE64+AF64+AG64+AH64)+IF(T64="yes",Weights!$B$10,0))</f>
        <v>54.375</v>
      </c>
      <c r="AJ64" s="7" t="s">
        <v>92</v>
      </c>
      <c r="AK64" s="7" t="s">
        <v>93</v>
      </c>
    </row>
    <row r="65" customFormat="false" ht="102.2" hidden="false" customHeight="false" outlineLevel="0" collapsed="false">
      <c r="A65" s="7" t="n">
        <f aca="false">RANK(AI65,$AI$2:$AI$70)</f>
        <v>1</v>
      </c>
      <c r="B65" s="7" t="s">
        <v>631</v>
      </c>
      <c r="C65" s="7" t="s">
        <v>632</v>
      </c>
      <c r="D65" s="7" t="s">
        <v>126</v>
      </c>
      <c r="E65" s="7" t="s">
        <v>127</v>
      </c>
      <c r="F65" s="7" t="n">
        <v>3</v>
      </c>
      <c r="G65" s="7" t="s">
        <v>77</v>
      </c>
      <c r="H65" s="7" t="s">
        <v>179</v>
      </c>
      <c r="I65" s="7" t="n">
        <v>400</v>
      </c>
      <c r="J65" s="7" t="n">
        <v>1</v>
      </c>
      <c r="K65" s="7" t="n">
        <f aca="false">IF(I65="","",I65*J65)</f>
        <v>400</v>
      </c>
      <c r="L65" s="8" t="n">
        <v>700</v>
      </c>
      <c r="M65" s="8" t="n">
        <v>1200</v>
      </c>
      <c r="N65" s="8" t="n">
        <f aca="false">IF(L65="","",ROUND((L65+M65)/2/J65,0))</f>
        <v>950</v>
      </c>
      <c r="O65" s="8" t="n">
        <f aca="false">IF(N65="","",N65*Weights!$B$12)</f>
        <v>42750</v>
      </c>
      <c r="P65" s="7" t="s">
        <v>99</v>
      </c>
      <c r="Q65" s="7" t="s">
        <v>115</v>
      </c>
      <c r="R65" s="7" t="s">
        <v>391</v>
      </c>
      <c r="S65" s="7" t="s">
        <v>180</v>
      </c>
      <c r="T65" s="7" t="s">
        <v>116</v>
      </c>
      <c r="U65" s="7"/>
      <c r="V65" s="7"/>
      <c r="W65" s="7" t="s">
        <v>633</v>
      </c>
      <c r="X65" s="7" t="s">
        <v>634</v>
      </c>
      <c r="Y65" s="7" t="s">
        <v>635</v>
      </c>
      <c r="Z65" s="7" t="s">
        <v>636</v>
      </c>
      <c r="AA65" s="7" t="s">
        <v>637</v>
      </c>
      <c r="AB65" s="7" t="s">
        <v>455</v>
      </c>
      <c r="AC65" s="7" t="s">
        <v>638</v>
      </c>
      <c r="AD65" s="7" t="s">
        <v>639</v>
      </c>
      <c r="AE65" s="9" t="n">
        <f aca="false">IF(LEFT(E65,2)="SF",IF(F65="",0,Weights!$B$2*MAX(0,MIN(1,(Weights!$B$9-F65)/(Weights!$B$9-Weights!$B$8)))),0)</f>
        <v>35</v>
      </c>
      <c r="AF65" s="9" t="n">
        <f aca="false">IF(N65="",5,Weights!$B$3*MAX(0,MIN(1,(Weights!$B$7-N65)/(Weights!$B$7-Weights!$B$6))))</f>
        <v>30</v>
      </c>
      <c r="AG65" s="9" t="n">
        <f aca="false">IF(P65="none",0,IF(P65="unknown",5,Weights!$B$4))</f>
        <v>15</v>
      </c>
      <c r="AH65" s="9" t="n">
        <f aca="false">IF(K65="",4,IF(AND(K65&gt;=Weights!$B$13,K65&lt;=Weights!$B$14),Weights!$B$5,IF(K65&gt;100,15,IF(K65&gt;=20,12,4))))</f>
        <v>15</v>
      </c>
      <c r="AI65" s="10" t="n">
        <f aca="false">IF(OR(Q65="taken",Q65="sold",Q65="ruled-out"),0,MIN(IF(AND(H65="tourist-hotel",P65="none"),Weights!$B$11,100),AE65+AF65+AG65+AH65)+IF(T65="yes",Weights!$B$10,0))</f>
        <v>100</v>
      </c>
      <c r="AJ65" s="7" t="s">
        <v>92</v>
      </c>
      <c r="AK65" s="7" t="s">
        <v>93</v>
      </c>
    </row>
    <row r="66" customFormat="false" ht="102.2" hidden="false" customHeight="false" outlineLevel="0" collapsed="false">
      <c r="A66" s="7" t="n">
        <f aca="false">RANK(AI66,$AI$2:$AI$70)</f>
        <v>1</v>
      </c>
      <c r="B66" s="7" t="s">
        <v>640</v>
      </c>
      <c r="C66" s="7" t="s">
        <v>641</v>
      </c>
      <c r="D66" s="7" t="s">
        <v>642</v>
      </c>
      <c r="E66" s="7" t="s">
        <v>127</v>
      </c>
      <c r="F66" s="7" t="n">
        <v>10</v>
      </c>
      <c r="G66" s="7" t="s">
        <v>77</v>
      </c>
      <c r="H66" s="7" t="s">
        <v>179</v>
      </c>
      <c r="I66" s="7" t="n">
        <v>440</v>
      </c>
      <c r="J66" s="7" t="n">
        <v>1</v>
      </c>
      <c r="K66" s="7" t="n">
        <f aca="false">IF(I66="","",I66*J66)</f>
        <v>440</v>
      </c>
      <c r="L66" s="8" t="n">
        <v>595</v>
      </c>
      <c r="M66" s="8" t="n">
        <v>1095</v>
      </c>
      <c r="N66" s="8" t="n">
        <f aca="false">IF(L66="","",ROUND((L66+M66)/2/J66,0))</f>
        <v>845</v>
      </c>
      <c r="O66" s="8" t="n">
        <f aca="false">IF(N66="","",N66*Weights!$B$12)</f>
        <v>38025</v>
      </c>
      <c r="P66" s="7" t="s">
        <v>99</v>
      </c>
      <c r="Q66" s="7" t="s">
        <v>115</v>
      </c>
      <c r="R66" s="7" t="s">
        <v>391</v>
      </c>
      <c r="S66" s="7" t="s">
        <v>162</v>
      </c>
      <c r="T66" s="7" t="s">
        <v>116</v>
      </c>
      <c r="U66" s="7"/>
      <c r="V66" s="7"/>
      <c r="W66" s="7" t="s">
        <v>643</v>
      </c>
      <c r="X66" s="7" t="s">
        <v>644</v>
      </c>
      <c r="Y66" s="7" t="s">
        <v>645</v>
      </c>
      <c r="Z66" s="7" t="s">
        <v>646</v>
      </c>
      <c r="AA66" s="7" t="s">
        <v>647</v>
      </c>
      <c r="AB66" s="7" t="s">
        <v>455</v>
      </c>
      <c r="AC66" s="7" t="s">
        <v>648</v>
      </c>
      <c r="AD66" s="7" t="s">
        <v>649</v>
      </c>
      <c r="AE66" s="9" t="n">
        <f aca="false">IF(LEFT(E66,2)="SF",IF(F66="",0,Weights!$B$2*MAX(0,MIN(1,(Weights!$B$9-F66)/(Weights!$B$9-Weights!$B$8)))),0)</f>
        <v>35</v>
      </c>
      <c r="AF66" s="9" t="n">
        <f aca="false">IF(N66="",5,Weights!$B$3*MAX(0,MIN(1,(Weights!$B$7-N66)/(Weights!$B$7-Weights!$B$6))))</f>
        <v>30</v>
      </c>
      <c r="AG66" s="9" t="n">
        <f aca="false">IF(P66="none",0,IF(P66="unknown",5,Weights!$B$4))</f>
        <v>15</v>
      </c>
      <c r="AH66" s="9" t="n">
        <f aca="false">IF(K66="",4,IF(AND(K66&gt;=Weights!$B$13,K66&lt;=Weights!$B$14),Weights!$B$5,IF(K66&gt;100,15,IF(K66&gt;=20,12,4))))</f>
        <v>15</v>
      </c>
      <c r="AI66" s="10" t="n">
        <f aca="false">IF(OR(Q66="taken",Q66="sold",Q66="ruled-out"),0,MIN(IF(AND(H66="tourist-hotel",P66="none"),Weights!$B$11,100),AE66+AF66+AG66+AH66)+IF(T66="yes",Weights!$B$10,0))</f>
        <v>100</v>
      </c>
      <c r="AJ66" s="7" t="s">
        <v>92</v>
      </c>
      <c r="AK66" s="7" t="s">
        <v>93</v>
      </c>
    </row>
    <row r="67" customFormat="false" ht="46.25" hidden="false" customHeight="false" outlineLevel="0" collapsed="false">
      <c r="A67" s="7" t="n">
        <f aca="false">RANK(AI67,$AI$2:$AI$70)</f>
        <v>35</v>
      </c>
      <c r="B67" s="7" t="s">
        <v>650</v>
      </c>
      <c r="C67" s="7" t="s">
        <v>651</v>
      </c>
      <c r="D67" s="7" t="s">
        <v>96</v>
      </c>
      <c r="E67" s="7" t="s">
        <v>97</v>
      </c>
      <c r="F67" s="7" t="n">
        <v>42</v>
      </c>
      <c r="G67" s="7" t="s">
        <v>77</v>
      </c>
      <c r="H67" s="7" t="s">
        <v>179</v>
      </c>
      <c r="I67" s="7" t="n">
        <v>47</v>
      </c>
      <c r="J67" s="7" t="n">
        <v>1</v>
      </c>
      <c r="K67" s="7" t="n">
        <f aca="false">IF(I67="","",I67*J67)</f>
        <v>47</v>
      </c>
      <c r="L67" s="8" t="n">
        <v>1990</v>
      </c>
      <c r="M67" s="8" t="n">
        <v>2190</v>
      </c>
      <c r="N67" s="8" t="n">
        <f aca="false">IF(L67="","",ROUND((L67+M67)/2/J67,0))</f>
        <v>2090</v>
      </c>
      <c r="O67" s="8" t="n">
        <f aca="false">IF(N67="","",N67*Weights!$B$12)</f>
        <v>94050</v>
      </c>
      <c r="P67" s="7" t="s">
        <v>99</v>
      </c>
      <c r="Q67" s="7" t="s">
        <v>115</v>
      </c>
      <c r="R67" s="7" t="s">
        <v>391</v>
      </c>
      <c r="S67" s="7" t="s">
        <v>652</v>
      </c>
      <c r="T67" s="7" t="s">
        <v>116</v>
      </c>
      <c r="U67" s="7"/>
      <c r="V67" s="7"/>
      <c r="W67" s="7" t="s">
        <v>653</v>
      </c>
      <c r="X67" s="7" t="s">
        <v>654</v>
      </c>
      <c r="Y67" s="7" t="s">
        <v>88</v>
      </c>
      <c r="Z67" s="7" t="s">
        <v>655</v>
      </c>
      <c r="AA67" s="7" t="s">
        <v>656</v>
      </c>
      <c r="AB67" s="7" t="s">
        <v>455</v>
      </c>
      <c r="AC67" s="7" t="s">
        <v>657</v>
      </c>
      <c r="AD67" s="7" t="s">
        <v>658</v>
      </c>
      <c r="AE67" s="9" t="n">
        <f aca="false">IF(LEFT(E67,2)="SF",IF(F67="",0,Weights!$B$2*MAX(0,MIN(1,(Weights!$B$9-F67)/(Weights!$B$9-Weights!$B$8)))),0)</f>
        <v>3</v>
      </c>
      <c r="AF67" s="9" t="n">
        <f aca="false">IF(N67="",5,Weights!$B$3*MAX(0,MIN(1,(Weights!$B$7-N67)/(Weights!$B$7-Weights!$B$6))))</f>
        <v>2.75</v>
      </c>
      <c r="AG67" s="9" t="n">
        <f aca="false">IF(P67="none",0,IF(P67="unknown",5,Weights!$B$4))</f>
        <v>15</v>
      </c>
      <c r="AH67" s="9" t="n">
        <f aca="false">IF(K67="",4,IF(AND(K67&gt;=Weights!$B$13,K67&lt;=Weights!$B$14),Weights!$B$5,IF(K67&gt;100,15,IF(K67&gt;=20,12,4))))</f>
        <v>20</v>
      </c>
      <c r="AI67" s="10" t="n">
        <f aca="false">IF(OR(Q67="taken",Q67="sold",Q67="ruled-out"),0,MIN(IF(AND(H67="tourist-hotel",P67="none"),Weights!$B$11,100),AE67+AF67+AG67+AH67)+IF(T67="yes",Weights!$B$10,0))</f>
        <v>45.75</v>
      </c>
      <c r="AJ67" s="7" t="s">
        <v>92</v>
      </c>
      <c r="AK67" s="7" t="s">
        <v>93</v>
      </c>
    </row>
    <row r="68" customFormat="false" ht="46.25" hidden="false" customHeight="false" outlineLevel="0" collapsed="false">
      <c r="A68" s="7" t="n">
        <f aca="false">RANK(AI68,$AI$2:$AI$70)</f>
        <v>3</v>
      </c>
      <c r="B68" s="7" t="s">
        <v>659</v>
      </c>
      <c r="C68" s="7" t="s">
        <v>660</v>
      </c>
      <c r="D68" s="7" t="s">
        <v>642</v>
      </c>
      <c r="E68" s="7" t="s">
        <v>127</v>
      </c>
      <c r="F68" s="7" t="n">
        <v>10</v>
      </c>
      <c r="G68" s="7" t="s">
        <v>77</v>
      </c>
      <c r="H68" s="7" t="s">
        <v>179</v>
      </c>
      <c r="I68" s="7" t="n">
        <v>40</v>
      </c>
      <c r="J68" s="7" t="n">
        <v>2</v>
      </c>
      <c r="K68" s="7" t="n">
        <f aca="false">IF(I68="","",I68*J68)</f>
        <v>80</v>
      </c>
      <c r="L68" s="8" t="n">
        <v>950</v>
      </c>
      <c r="M68" s="8" t="n">
        <v>1400</v>
      </c>
      <c r="N68" s="8" t="n">
        <f aca="false">IF(L68="","",ROUND((L68+M68)/2/J68,0))</f>
        <v>588</v>
      </c>
      <c r="O68" s="8" t="n">
        <f aca="false">IF(N68="","",N68*Weights!$B$12)</f>
        <v>26460</v>
      </c>
      <c r="P68" s="7" t="s">
        <v>99</v>
      </c>
      <c r="Q68" s="7" t="s">
        <v>115</v>
      </c>
      <c r="R68" s="7" t="s">
        <v>391</v>
      </c>
      <c r="S68" s="7" t="s">
        <v>152</v>
      </c>
      <c r="T68" s="7" t="s">
        <v>116</v>
      </c>
      <c r="U68" s="7"/>
      <c r="V68" s="7"/>
      <c r="W68" s="7" t="s">
        <v>661</v>
      </c>
      <c r="X68" s="7" t="s">
        <v>654</v>
      </c>
      <c r="Y68" s="7" t="s">
        <v>88</v>
      </c>
      <c r="Z68" s="7" t="s">
        <v>662</v>
      </c>
      <c r="AA68" s="7" t="s">
        <v>663</v>
      </c>
      <c r="AB68" s="7" t="s">
        <v>455</v>
      </c>
      <c r="AC68" s="7" t="s">
        <v>657</v>
      </c>
      <c r="AD68" s="7" t="s">
        <v>658</v>
      </c>
      <c r="AE68" s="9" t="n">
        <f aca="false">IF(LEFT(E68,2)="SF",IF(F68="",0,Weights!$B$2*MAX(0,MIN(1,(Weights!$B$9-F68)/(Weights!$B$9-Weights!$B$8)))),0)</f>
        <v>35</v>
      </c>
      <c r="AF68" s="9" t="n">
        <f aca="false">IF(N68="",5,Weights!$B$3*MAX(0,MIN(1,(Weights!$B$7-N68)/(Weights!$B$7-Weights!$B$6))))</f>
        <v>30</v>
      </c>
      <c r="AG68" s="9" t="n">
        <f aca="false">IF(P68="none",0,IF(P68="unknown",5,Weights!$B$4))</f>
        <v>15</v>
      </c>
      <c r="AH68" s="9" t="n">
        <f aca="false">IF(K68="",4,IF(AND(K68&gt;=Weights!$B$13,K68&lt;=Weights!$B$14),Weights!$B$5,IF(K68&gt;100,15,IF(K68&gt;=20,12,4))))</f>
        <v>12</v>
      </c>
      <c r="AI68" s="10" t="n">
        <f aca="false">IF(OR(Q68="taken",Q68="sold",Q68="ruled-out"),0,MIN(IF(AND(H68="tourist-hotel",P68="none"),Weights!$B$11,100),AE68+AF68+AG68+AH68)+IF(T68="yes",Weights!$B$10,0))</f>
        <v>97</v>
      </c>
      <c r="AJ68" s="7" t="s">
        <v>92</v>
      </c>
      <c r="AK68" s="7" t="s">
        <v>93</v>
      </c>
    </row>
    <row r="69" customFormat="false" ht="46.25" hidden="false" customHeight="false" outlineLevel="0" collapsed="false">
      <c r="A69" s="7" t="n">
        <f aca="false">RANK(AI69,$AI$2:$AI$70)</f>
        <v>22</v>
      </c>
      <c r="B69" s="7" t="s">
        <v>664</v>
      </c>
      <c r="C69" s="7" t="s">
        <v>665</v>
      </c>
      <c r="D69" s="7" t="s">
        <v>150</v>
      </c>
      <c r="E69" s="7" t="s">
        <v>127</v>
      </c>
      <c r="F69" s="7" t="n">
        <v>15</v>
      </c>
      <c r="G69" s="7" t="s">
        <v>77</v>
      </c>
      <c r="H69" s="7" t="s">
        <v>179</v>
      </c>
      <c r="I69" s="7" t="n">
        <v>20</v>
      </c>
      <c r="J69" s="7" t="n">
        <v>1</v>
      </c>
      <c r="K69" s="7" t="n">
        <f aca="false">IF(I69="","",I69*J69)</f>
        <v>20</v>
      </c>
      <c r="L69" s="8" t="n">
        <v>1595</v>
      </c>
      <c r="M69" s="8" t="n">
        <v>1595</v>
      </c>
      <c r="N69" s="8" t="n">
        <f aca="false">IF(L69="","",ROUND((L69+M69)/2/J69,0))</f>
        <v>1595</v>
      </c>
      <c r="O69" s="8" t="n">
        <f aca="false">IF(N69="","",N69*Weights!$B$12)</f>
        <v>71775</v>
      </c>
      <c r="P69" s="7" t="s">
        <v>102</v>
      </c>
      <c r="Q69" s="7" t="s">
        <v>115</v>
      </c>
      <c r="R69" s="7" t="s">
        <v>666</v>
      </c>
      <c r="S69" s="7" t="s">
        <v>101</v>
      </c>
      <c r="T69" s="7" t="s">
        <v>83</v>
      </c>
      <c r="U69" s="7"/>
      <c r="V69" s="7" t="s">
        <v>116</v>
      </c>
      <c r="W69" s="7" t="s">
        <v>667</v>
      </c>
      <c r="X69" s="7" t="s">
        <v>668</v>
      </c>
      <c r="Y69" s="7"/>
      <c r="Z69" s="7"/>
      <c r="AA69" s="7"/>
      <c r="AB69" s="7"/>
      <c r="AC69" s="7"/>
      <c r="AD69" s="7" t="s">
        <v>669</v>
      </c>
      <c r="AE69" s="9" t="n">
        <f aca="false">IF(LEFT(E69,2)="SF",IF(F69="",0,Weights!$B$2*MAX(0,MIN(1,(Weights!$B$9-F69)/(Weights!$B$9-Weights!$B$8)))),0)</f>
        <v>30</v>
      </c>
      <c r="AF69" s="9" t="n">
        <f aca="false">IF(N69="",5,Weights!$B$3*MAX(0,MIN(1,(Weights!$B$7-N69)/(Weights!$B$7-Weights!$B$6))))</f>
        <v>15.125</v>
      </c>
      <c r="AG69" s="9" t="n">
        <f aca="false">IF(P69="none",0,IF(P69="unknown",5,Weights!$B$4))</f>
        <v>5</v>
      </c>
      <c r="AH69" s="9" t="n">
        <f aca="false">IF(K69="",4,IF(AND(K69&gt;=Weights!$B$13,K69&lt;=Weights!$B$14),Weights!$B$5,IF(K69&gt;100,15,IF(K69&gt;=20,12,4))))</f>
        <v>12</v>
      </c>
      <c r="AI69" s="10" t="n">
        <f aca="false">IF(OR(Q69="taken",Q69="sold",Q69="ruled-out"),0,MIN(IF(AND(H69="tourist-hotel",P69="none"),Weights!$B$11,100),AE69+AF69+AG69+AH69)+IF(T69="yes",Weights!$B$10,0))</f>
        <v>62.125</v>
      </c>
      <c r="AJ69" s="7" t="s">
        <v>92</v>
      </c>
      <c r="AK69" s="7" t="s">
        <v>93</v>
      </c>
    </row>
    <row r="70" customFormat="false" ht="46.25" hidden="false" customHeight="false" outlineLevel="0" collapsed="false">
      <c r="A70" s="7" t="n">
        <f aca="false">RANK(AI70,$AI$2:$AI$70)</f>
        <v>38</v>
      </c>
      <c r="B70" s="7" t="s">
        <v>670</v>
      </c>
      <c r="C70" s="7" t="s">
        <v>671</v>
      </c>
      <c r="D70" s="7" t="s">
        <v>150</v>
      </c>
      <c r="E70" s="7" t="s">
        <v>127</v>
      </c>
      <c r="F70" s="7" t="n">
        <v>15</v>
      </c>
      <c r="G70" s="7" t="s">
        <v>77</v>
      </c>
      <c r="H70" s="7" t="s">
        <v>78</v>
      </c>
      <c r="I70" s="7" t="n">
        <v>50</v>
      </c>
      <c r="J70" s="7" t="n">
        <v>1</v>
      </c>
      <c r="K70" s="7" t="n">
        <f aca="false">IF(I70="","",I70*J70)</f>
        <v>50</v>
      </c>
      <c r="L70" s="8" t="n">
        <v>3300</v>
      </c>
      <c r="M70" s="8" t="n">
        <v>3300</v>
      </c>
      <c r="N70" s="8" t="n">
        <f aca="false">IF(L70="","",ROUND((L70+M70)/2/J70,0))</f>
        <v>3300</v>
      </c>
      <c r="O70" s="8" t="n">
        <f aca="false">IF(N70="","",N70*Weights!$B$12)</f>
        <v>148500</v>
      </c>
      <c r="P70" s="7" t="s">
        <v>79</v>
      </c>
      <c r="Q70" s="7" t="s">
        <v>115</v>
      </c>
      <c r="R70" s="7" t="s">
        <v>666</v>
      </c>
      <c r="S70" s="7"/>
      <c r="T70" s="7" t="s">
        <v>83</v>
      </c>
      <c r="U70" s="7"/>
      <c r="V70" s="7" t="s">
        <v>116</v>
      </c>
      <c r="W70" s="7" t="s">
        <v>672</v>
      </c>
      <c r="X70" s="7" t="s">
        <v>673</v>
      </c>
      <c r="Y70" s="7"/>
      <c r="Z70" s="7"/>
      <c r="AA70" s="7"/>
      <c r="AB70" s="7"/>
      <c r="AC70" s="7"/>
      <c r="AD70" s="7" t="s">
        <v>674</v>
      </c>
      <c r="AE70" s="9" t="n">
        <f aca="false">IF(LEFT(E70,2)="SF",IF(F70="",0,Weights!$B$2*MAX(0,MIN(1,(Weights!$B$9-F70)/(Weights!$B$9-Weights!$B$8)))),0)</f>
        <v>30</v>
      </c>
      <c r="AF70" s="9" t="n">
        <f aca="false">IF(N70="",5,Weights!$B$3*MAX(0,MIN(1,(Weights!$B$7-N70)/(Weights!$B$7-Weights!$B$6))))</f>
        <v>0</v>
      </c>
      <c r="AG70" s="9" t="n">
        <f aca="false">IF(P70="none",0,IF(P70="unknown",5,Weights!$B$4))</f>
        <v>0</v>
      </c>
      <c r="AH70" s="9" t="n">
        <f aca="false">IF(K70="",4,IF(AND(K70&gt;=Weights!$B$13,K70&lt;=Weights!$B$14),Weights!$B$5,IF(K70&gt;100,15,IF(K70&gt;=20,12,4))))</f>
        <v>20</v>
      </c>
      <c r="AI70" s="10" t="n">
        <f aca="false">IF(OR(Q70="taken",Q70="sold",Q70="ruled-out"),0,MIN(IF(AND(H70="tourist-hotel",P70="none"),Weights!$B$11,100),AE70+AF70+AG70+AH70)+IF(T70="yes",Weights!$B$10,0))</f>
        <v>40</v>
      </c>
      <c r="AJ70" s="7" t="s">
        <v>92</v>
      </c>
      <c r="AK70" s="7" t="s">
        <v>93</v>
      </c>
    </row>
  </sheetData>
  <autoFilter ref="A1:AK70"/>
  <conditionalFormatting sqref="AI2:AI70">
    <cfRule type="cellIs" priority="2" operator="greaterThanOrEqual" aboveAverage="0" equalAverage="0" bottom="0" percent="0" rank="0" text="" dxfId="8">
      <formula>70</formula>
    </cfRule>
    <cfRule type="cellIs" priority="3" operator="between" aboveAverage="0" equalAverage="0" bottom="0" percent="0" rank="0" text="" dxfId="9">
      <formula>45</formula>
      <formula>69.9</formula>
    </cfRule>
    <cfRule type="cellIs" priority="4" operator="lessThan" aboveAverage="0" equalAverage="0" bottom="0" percent="0" rank="0" text="" dxfId="10">
      <formula>45</formula>
    </cfRule>
  </conditionalFormatting>
  <conditionalFormatting sqref="A2:AK70">
    <cfRule type="expression" priority="5" aboveAverage="0" equalAverage="0" bottom="0" percent="0" rank="0" text="" dxfId="11">
      <formula>$V2="yes"</formula>
    </cfRule>
    <cfRule type="expression" priority="6" aboveAverage="0" equalAverage="0" bottom="0" percent="0" rank="0" text="" dxfId="12">
      <formula>LEFT($E2,2)&lt;&gt;"SF"</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30"/>
    <col collapsed="false" customWidth="true" hidden="false" outlineLevel="0" max="4" min="4" style="0" width="16"/>
    <col collapsed="false" customWidth="true" hidden="false" outlineLevel="0" max="5" min="5" style="0" width="11"/>
    <col collapsed="false" customWidth="true" hidden="false" outlineLevel="0" max="6" min="6" style="0" width="9"/>
    <col collapsed="false" customWidth="true" hidden="false" outlineLevel="0" max="8" min="7" style="0" width="12"/>
    <col collapsed="false" customWidth="true" hidden="false" outlineLevel="0" max="10" min="9" style="0" width="18"/>
    <col collapsed="false" customWidth="true" hidden="false" outlineLevel="0" max="11" min="11" style="0" width="7"/>
    <col collapsed="false" customWidth="true" hidden="false" outlineLevel="0" max="12" min="12" style="0" width="26"/>
    <col collapsed="false" customWidth="true" hidden="false" outlineLevel="0" max="13" min="13" style="0" width="9"/>
    <col collapsed="false" customWidth="true" hidden="false" outlineLevel="0" max="14" min="14" style="0" width="11"/>
    <col collapsed="false" customWidth="true" hidden="false" outlineLevel="0" max="15" min="15" style="0" width="10"/>
    <col collapsed="false" customWidth="true" hidden="false" outlineLevel="0" max="16" min="16" style="0" width="22"/>
    <col collapsed="false" customWidth="true" hidden="false" outlineLevel="0" max="18" min="17" style="0" width="9"/>
    <col collapsed="false" customWidth="true" hidden="false" outlineLevel="0" max="19" min="19" style="0" width="7"/>
    <col collapsed="false" customWidth="true" hidden="false" outlineLevel="0" max="20" min="20" style="0" width="12"/>
    <col collapsed="false" customWidth="true" hidden="false" outlineLevel="0" max="21" min="21" style="0" width="9"/>
    <col collapsed="false" customWidth="true" hidden="false" outlineLevel="0" max="25" min="22" style="0" width="7"/>
    <col collapsed="false" customWidth="true" hidden="false" outlineLevel="0" max="26" min="26" style="0" width="8"/>
    <col collapsed="false" customWidth="true" hidden="false" outlineLevel="0" max="27" min="27" style="0" width="14"/>
  </cols>
  <sheetData>
    <row r="1" customFormat="false" ht="42" hidden="false" customHeight="true" outlineLevel="0" collapsed="false">
      <c r="A1" s="3" t="s">
        <v>36</v>
      </c>
      <c r="B1" s="3" t="s">
        <v>37</v>
      </c>
      <c r="C1" s="3" t="s">
        <v>675</v>
      </c>
      <c r="D1" s="3" t="s">
        <v>39</v>
      </c>
      <c r="E1" s="3" t="s">
        <v>40</v>
      </c>
      <c r="F1" s="3" t="s">
        <v>676</v>
      </c>
      <c r="G1" s="3" t="s">
        <v>42</v>
      </c>
      <c r="H1" s="3" t="s">
        <v>677</v>
      </c>
      <c r="I1" s="3" t="s">
        <v>678</v>
      </c>
      <c r="J1" s="3" t="s">
        <v>679</v>
      </c>
      <c r="K1" s="3" t="s">
        <v>46</v>
      </c>
      <c r="L1" s="3" t="s">
        <v>680</v>
      </c>
      <c r="M1" s="3" t="s">
        <v>681</v>
      </c>
      <c r="N1" s="3" t="s">
        <v>50</v>
      </c>
      <c r="O1" s="3" t="s">
        <v>682</v>
      </c>
      <c r="P1" s="3" t="s">
        <v>683</v>
      </c>
      <c r="Q1" s="3" t="s">
        <v>52</v>
      </c>
      <c r="R1" s="3" t="s">
        <v>55</v>
      </c>
      <c r="S1" s="3" t="s">
        <v>684</v>
      </c>
      <c r="T1" s="3" t="s">
        <v>71</v>
      </c>
      <c r="U1" s="3" t="s">
        <v>685</v>
      </c>
      <c r="V1" s="3" t="s">
        <v>66</v>
      </c>
      <c r="W1" s="3" t="s">
        <v>67</v>
      </c>
      <c r="X1" s="3" t="s">
        <v>68</v>
      </c>
      <c r="Y1" s="3" t="s">
        <v>69</v>
      </c>
      <c r="Z1" s="3" t="s">
        <v>70</v>
      </c>
      <c r="AA1" s="3" t="s">
        <v>72</v>
      </c>
    </row>
    <row r="2" customFormat="false" ht="23.85" hidden="false" customHeight="false" outlineLevel="0" collapsed="false">
      <c r="A2" s="7" t="n">
        <f aca="false">RANK(Z2,$Z$2:$Z$78)</f>
        <v>15</v>
      </c>
      <c r="B2" s="7" t="s">
        <v>686</v>
      </c>
      <c r="C2" s="7" t="s">
        <v>687</v>
      </c>
      <c r="D2" s="7" t="s">
        <v>642</v>
      </c>
      <c r="E2" s="7" t="s">
        <v>127</v>
      </c>
      <c r="F2" s="7" t="n">
        <v>8</v>
      </c>
      <c r="G2" s="7" t="s">
        <v>688</v>
      </c>
      <c r="H2" s="7" t="s">
        <v>151</v>
      </c>
      <c r="I2" s="7" t="s">
        <v>689</v>
      </c>
      <c r="J2" s="7" t="s">
        <v>690</v>
      </c>
      <c r="K2" s="7"/>
      <c r="L2" s="7" t="s">
        <v>690</v>
      </c>
      <c r="M2" s="8" t="n">
        <v>1200</v>
      </c>
      <c r="N2" s="8" t="n">
        <f aca="false">M2*Weights!$B$12</f>
        <v>54000</v>
      </c>
      <c r="O2" s="7" t="s">
        <v>99</v>
      </c>
      <c r="P2" s="7" t="s">
        <v>691</v>
      </c>
      <c r="Q2" s="7" t="s">
        <v>115</v>
      </c>
      <c r="R2" s="7" t="s">
        <v>102</v>
      </c>
      <c r="S2" s="7" t="n">
        <v>1</v>
      </c>
      <c r="T2" s="7" t="s">
        <v>692</v>
      </c>
      <c r="U2" s="7" t="s">
        <v>693</v>
      </c>
      <c r="V2" s="9" t="n">
        <f aca="false">IF(LEFT(E2,2)="SF",IF(F2="",0,Weights!$B$2*MAX(0,MIN(1,(Weights!$B$9-F2)/(Weights!$B$9-Weights!$B$8)))),0)</f>
        <v>35</v>
      </c>
      <c r="W2" s="9" t="n">
        <f aca="false">IF(M2="",5,Weights!$B$3*MAX(0,MIN(1,(Weights!$B$7-M2)/(Weights!$B$7-Weights!$B$6))))</f>
        <v>25</v>
      </c>
      <c r="X2" s="9" t="n">
        <f aca="false">IF(O2="none",0,IF(O2="unknown",5,Weights!$B$4))</f>
        <v>15</v>
      </c>
      <c r="Y2" s="9" t="n">
        <f aca="false">IF(K2="",4,IF(AND(K2&gt;=Weights!$B$13,K2&lt;=Weights!$B$14),Weights!$B$5,IF(K2&gt;100,15,IF(K2&gt;=20,12,4))))</f>
        <v>4</v>
      </c>
      <c r="Z2" s="10" t="n">
        <f aca="false">IF(OR(Q2="taken",Q2="sold",Q2="ruled-out"),0,MIN(IF(AND(H2="tourist-hotel",O2="none"),Weights!$B$11,100),V2+W2+X2+Y2)+IF(R2="yes",Weights!$B$10,0))</f>
        <v>79</v>
      </c>
      <c r="AA2" s="7" t="s">
        <v>694</v>
      </c>
    </row>
    <row r="3" customFormat="false" ht="23.85" hidden="false" customHeight="false" outlineLevel="0" collapsed="false">
      <c r="A3" s="7" t="n">
        <f aca="false">RANK(Z3,$Z$2:$Z$78)</f>
        <v>3</v>
      </c>
      <c r="B3" s="7" t="s">
        <v>695</v>
      </c>
      <c r="C3" s="7" t="s">
        <v>696</v>
      </c>
      <c r="D3" s="7" t="s">
        <v>642</v>
      </c>
      <c r="E3" s="7" t="s">
        <v>97</v>
      </c>
      <c r="F3" s="7" t="n">
        <v>10</v>
      </c>
      <c r="G3" s="7" t="s">
        <v>688</v>
      </c>
      <c r="H3" s="7" t="s">
        <v>179</v>
      </c>
      <c r="I3" s="7" t="s">
        <v>697</v>
      </c>
      <c r="J3" s="7" t="s">
        <v>698</v>
      </c>
      <c r="K3" s="7" t="n">
        <v>160</v>
      </c>
      <c r="L3" s="7" t="s">
        <v>699</v>
      </c>
      <c r="M3" s="8" t="n">
        <v>1200</v>
      </c>
      <c r="N3" s="8" t="n">
        <f aca="false">M3*Weights!$B$12</f>
        <v>54000</v>
      </c>
      <c r="O3" s="7" t="s">
        <v>99</v>
      </c>
      <c r="P3" s="7" t="s">
        <v>691</v>
      </c>
      <c r="Q3" s="7" t="s">
        <v>115</v>
      </c>
      <c r="R3" s="7" t="s">
        <v>102</v>
      </c>
      <c r="S3" s="7" t="n">
        <v>1</v>
      </c>
      <c r="T3" s="7" t="s">
        <v>692</v>
      </c>
      <c r="U3" s="7" t="s">
        <v>693</v>
      </c>
      <c r="V3" s="9" t="n">
        <f aca="false">IF(LEFT(E3,2)="SF",IF(F3="",0,Weights!$B$2*MAX(0,MIN(1,(Weights!$B$9-F3)/(Weights!$B$9-Weights!$B$8)))),0)</f>
        <v>35</v>
      </c>
      <c r="W3" s="9" t="n">
        <f aca="false">IF(M3="",5,Weights!$B$3*MAX(0,MIN(1,(Weights!$B$7-M3)/(Weights!$B$7-Weights!$B$6))))</f>
        <v>25</v>
      </c>
      <c r="X3" s="9" t="n">
        <f aca="false">IF(O3="none",0,IF(O3="unknown",5,Weights!$B$4))</f>
        <v>15</v>
      </c>
      <c r="Y3" s="9" t="n">
        <f aca="false">IF(K3="",4,IF(AND(K3&gt;=Weights!$B$13,K3&lt;=Weights!$B$14),Weights!$B$5,IF(K3&gt;100,15,IF(K3&gt;=20,12,4))))</f>
        <v>15</v>
      </c>
      <c r="Z3" s="10" t="n">
        <f aca="false">IF(OR(Q3="taken",Q3="sold",Q3="ruled-out"),0,MIN(IF(AND(H3="tourist-hotel",O3="none"),Weights!$B$11,100),V3+W3+X3+Y3)+IF(R3="yes",Weights!$B$10,0))</f>
        <v>90</v>
      </c>
      <c r="AA3" s="7" t="s">
        <v>694</v>
      </c>
    </row>
    <row r="4" customFormat="false" ht="23.85" hidden="false" customHeight="false" outlineLevel="0" collapsed="false">
      <c r="A4" s="7" t="n">
        <f aca="false">RANK(Z4,$Z$2:$Z$78)</f>
        <v>32</v>
      </c>
      <c r="B4" s="7" t="s">
        <v>700</v>
      </c>
      <c r="C4" s="7" t="s">
        <v>701</v>
      </c>
      <c r="D4" s="7" t="s">
        <v>642</v>
      </c>
      <c r="E4" s="7" t="s">
        <v>127</v>
      </c>
      <c r="F4" s="7" t="n">
        <v>15</v>
      </c>
      <c r="G4" s="7" t="s">
        <v>688</v>
      </c>
      <c r="H4" s="7" t="s">
        <v>113</v>
      </c>
      <c r="I4" s="7" t="s">
        <v>702</v>
      </c>
      <c r="J4" s="7" t="s">
        <v>703</v>
      </c>
      <c r="K4" s="7" t="n">
        <v>200</v>
      </c>
      <c r="L4" s="7" t="s">
        <v>704</v>
      </c>
      <c r="M4" s="8" t="n">
        <v>2000</v>
      </c>
      <c r="N4" s="8" t="n">
        <f aca="false">M4*Weights!$B$12</f>
        <v>90000</v>
      </c>
      <c r="O4" s="7" t="s">
        <v>99</v>
      </c>
      <c r="P4" s="7" t="s">
        <v>691</v>
      </c>
      <c r="Q4" s="7" t="s">
        <v>115</v>
      </c>
      <c r="R4" s="7" t="s">
        <v>102</v>
      </c>
      <c r="S4" s="7" t="n">
        <v>1</v>
      </c>
      <c r="T4" s="7" t="s">
        <v>692</v>
      </c>
      <c r="U4" s="7" t="s">
        <v>693</v>
      </c>
      <c r="V4" s="9" t="n">
        <f aca="false">IF(LEFT(E4,2)="SF",IF(F4="",0,Weights!$B$2*MAX(0,MIN(1,(Weights!$B$9-F4)/(Weights!$B$9-Weights!$B$8)))),0)</f>
        <v>30</v>
      </c>
      <c r="W4" s="9" t="n">
        <f aca="false">IF(M4="",5,Weights!$B$3*MAX(0,MIN(1,(Weights!$B$7-M4)/(Weights!$B$7-Weights!$B$6))))</f>
        <v>5</v>
      </c>
      <c r="X4" s="9" t="n">
        <f aca="false">IF(O4="none",0,IF(O4="unknown",5,Weights!$B$4))</f>
        <v>15</v>
      </c>
      <c r="Y4" s="9" t="n">
        <f aca="false">IF(K4="",4,IF(AND(K4&gt;=Weights!$B$13,K4&lt;=Weights!$B$14),Weights!$B$5,IF(K4&gt;100,15,IF(K4&gt;=20,12,4))))</f>
        <v>15</v>
      </c>
      <c r="Z4" s="10" t="n">
        <f aca="false">IF(OR(Q4="taken",Q4="sold",Q4="ruled-out"),0,MIN(IF(AND(H4="tourist-hotel",O4="none"),Weights!$B$11,100),V4+W4+X4+Y4)+IF(R4="yes",Weights!$B$10,0))</f>
        <v>65</v>
      </c>
      <c r="AA4" s="7" t="s">
        <v>694</v>
      </c>
    </row>
    <row r="5" customFormat="false" ht="23.85" hidden="false" customHeight="false" outlineLevel="0" collapsed="false">
      <c r="A5" s="7" t="n">
        <f aca="false">RANK(Z5,$Z$2:$Z$78)</f>
        <v>29</v>
      </c>
      <c r="B5" s="7" t="s">
        <v>705</v>
      </c>
      <c r="C5" s="7" t="s">
        <v>706</v>
      </c>
      <c r="D5" s="7" t="s">
        <v>707</v>
      </c>
      <c r="E5" s="7" t="s">
        <v>127</v>
      </c>
      <c r="F5" s="7" t="n">
        <v>10</v>
      </c>
      <c r="G5" s="7" t="s">
        <v>688</v>
      </c>
      <c r="H5" s="7" t="s">
        <v>113</v>
      </c>
      <c r="I5" s="7" t="s">
        <v>702</v>
      </c>
      <c r="J5" s="7" t="s">
        <v>708</v>
      </c>
      <c r="K5" s="7" t="n">
        <v>240</v>
      </c>
      <c r="L5" s="7" t="s">
        <v>704</v>
      </c>
      <c r="M5" s="8" t="n">
        <v>2100</v>
      </c>
      <c r="N5" s="8" t="n">
        <f aca="false">M5*Weights!$B$12</f>
        <v>94500</v>
      </c>
      <c r="O5" s="7" t="s">
        <v>99</v>
      </c>
      <c r="P5" s="7" t="s">
        <v>691</v>
      </c>
      <c r="Q5" s="7" t="s">
        <v>115</v>
      </c>
      <c r="R5" s="7" t="s">
        <v>102</v>
      </c>
      <c r="S5" s="7" t="n">
        <v>1</v>
      </c>
      <c r="T5" s="7" t="s">
        <v>692</v>
      </c>
      <c r="U5" s="7" t="s">
        <v>693</v>
      </c>
      <c r="V5" s="9" t="n">
        <f aca="false">IF(LEFT(E5,2)="SF",IF(F5="",0,Weights!$B$2*MAX(0,MIN(1,(Weights!$B$9-F5)/(Weights!$B$9-Weights!$B$8)))),0)</f>
        <v>35</v>
      </c>
      <c r="W5" s="9" t="n">
        <f aca="false">IF(M5="",5,Weights!$B$3*MAX(0,MIN(1,(Weights!$B$7-M5)/(Weights!$B$7-Weights!$B$6))))</f>
        <v>2.5</v>
      </c>
      <c r="X5" s="9" t="n">
        <f aca="false">IF(O5="none",0,IF(O5="unknown",5,Weights!$B$4))</f>
        <v>15</v>
      </c>
      <c r="Y5" s="9" t="n">
        <f aca="false">IF(K5="",4,IF(AND(K5&gt;=Weights!$B$13,K5&lt;=Weights!$B$14),Weights!$B$5,IF(K5&gt;100,15,IF(K5&gt;=20,12,4))))</f>
        <v>15</v>
      </c>
      <c r="Z5" s="10" t="n">
        <f aca="false">IF(OR(Q5="taken",Q5="sold",Q5="ruled-out"),0,MIN(IF(AND(H5="tourist-hotel",O5="none"),Weights!$B$11,100),V5+W5+X5+Y5)+IF(R5="yes",Weights!$B$10,0))</f>
        <v>67.5</v>
      </c>
      <c r="AA5" s="7" t="s">
        <v>694</v>
      </c>
    </row>
    <row r="6" customFormat="false" ht="23.85" hidden="false" customHeight="false" outlineLevel="0" collapsed="false">
      <c r="A6" s="7" t="n">
        <f aca="false">RANK(Z6,$Z$2:$Z$78)</f>
        <v>40</v>
      </c>
      <c r="B6" s="7" t="s">
        <v>659</v>
      </c>
      <c r="C6" s="7" t="s">
        <v>709</v>
      </c>
      <c r="D6" s="7" t="s">
        <v>642</v>
      </c>
      <c r="E6" s="7" t="s">
        <v>127</v>
      </c>
      <c r="F6" s="7" t="n">
        <v>10</v>
      </c>
      <c r="G6" s="7" t="s">
        <v>688</v>
      </c>
      <c r="H6" s="7" t="s">
        <v>179</v>
      </c>
      <c r="I6" s="7" t="s">
        <v>710</v>
      </c>
      <c r="J6" s="7" t="s">
        <v>711</v>
      </c>
      <c r="K6" s="7"/>
      <c r="L6" s="7"/>
      <c r="M6" s="8" t="n">
        <v>1500</v>
      </c>
      <c r="N6" s="8" t="n">
        <f aca="false">M6*Weights!$B$12</f>
        <v>67500</v>
      </c>
      <c r="O6" s="7" t="s">
        <v>102</v>
      </c>
      <c r="P6" s="7"/>
      <c r="Q6" s="7" t="s">
        <v>115</v>
      </c>
      <c r="R6" s="7" t="s">
        <v>102</v>
      </c>
      <c r="S6" s="7" t="n">
        <v>1</v>
      </c>
      <c r="T6" s="7" t="s">
        <v>692</v>
      </c>
      <c r="U6" s="7" t="s">
        <v>693</v>
      </c>
      <c r="V6" s="9" t="n">
        <f aca="false">IF(LEFT(E6,2)="SF",IF(F6="",0,Weights!$B$2*MAX(0,MIN(1,(Weights!$B$9-F6)/(Weights!$B$9-Weights!$B$8)))),0)</f>
        <v>35</v>
      </c>
      <c r="W6" s="9" t="n">
        <f aca="false">IF(M6="",5,Weights!$B$3*MAX(0,MIN(1,(Weights!$B$7-M6)/(Weights!$B$7-Weights!$B$6))))</f>
        <v>17.5</v>
      </c>
      <c r="X6" s="9" t="n">
        <f aca="false">IF(O6="none",0,IF(O6="unknown",5,Weights!$B$4))</f>
        <v>5</v>
      </c>
      <c r="Y6" s="9" t="n">
        <f aca="false">IF(K6="",4,IF(AND(K6&gt;=Weights!$B$13,K6&lt;=Weights!$B$14),Weights!$B$5,IF(K6&gt;100,15,IF(K6&gt;=20,12,4))))</f>
        <v>4</v>
      </c>
      <c r="Z6" s="10" t="n">
        <f aca="false">IF(OR(Q6="taken",Q6="sold",Q6="ruled-out"),0,MIN(IF(AND(H6="tourist-hotel",O6="none"),Weights!$B$11,100),V6+W6+X6+Y6)+IF(R6="yes",Weights!$B$10,0))</f>
        <v>61.5</v>
      </c>
      <c r="AA6" s="7" t="s">
        <v>694</v>
      </c>
    </row>
    <row r="7" customFormat="false" ht="23.85" hidden="false" customHeight="false" outlineLevel="0" collapsed="false">
      <c r="A7" s="7" t="n">
        <f aca="false">RANK(Z7,$Z$2:$Z$78)</f>
        <v>35</v>
      </c>
      <c r="B7" s="7" t="s">
        <v>712</v>
      </c>
      <c r="C7" s="7" t="s">
        <v>150</v>
      </c>
      <c r="D7" s="7" t="s">
        <v>150</v>
      </c>
      <c r="E7" s="7" t="s">
        <v>127</v>
      </c>
      <c r="F7" s="7" t="n">
        <v>30</v>
      </c>
      <c r="G7" s="7" t="s">
        <v>688</v>
      </c>
      <c r="H7" s="7" t="s">
        <v>151</v>
      </c>
      <c r="I7" s="7" t="s">
        <v>713</v>
      </c>
      <c r="J7" s="7" t="s">
        <v>714</v>
      </c>
      <c r="K7" s="7"/>
      <c r="L7" s="7"/>
      <c r="M7" s="8" t="n">
        <v>1000</v>
      </c>
      <c r="N7" s="8" t="n">
        <f aca="false">M7*Weights!$B$12</f>
        <v>45000</v>
      </c>
      <c r="O7" s="7" t="s">
        <v>99</v>
      </c>
      <c r="P7" s="7" t="s">
        <v>691</v>
      </c>
      <c r="Q7" s="7" t="s">
        <v>115</v>
      </c>
      <c r="R7" s="7" t="s">
        <v>102</v>
      </c>
      <c r="S7" s="7" t="n">
        <v>1</v>
      </c>
      <c r="T7" s="7" t="s">
        <v>692</v>
      </c>
      <c r="U7" s="7" t="s">
        <v>693</v>
      </c>
      <c r="V7" s="9" t="n">
        <f aca="false">IF(LEFT(E7,2)="SF",IF(F7="",0,Weights!$B$2*MAX(0,MIN(1,(Weights!$B$9-F7)/(Weights!$B$9-Weights!$B$8)))),0)</f>
        <v>15</v>
      </c>
      <c r="W7" s="9" t="n">
        <f aca="false">IF(M7="",5,Weights!$B$3*MAX(0,MIN(1,(Weights!$B$7-M7)/(Weights!$B$7-Weights!$B$6))))</f>
        <v>30</v>
      </c>
      <c r="X7" s="9" t="n">
        <f aca="false">IF(O7="none",0,IF(O7="unknown",5,Weights!$B$4))</f>
        <v>15</v>
      </c>
      <c r="Y7" s="9" t="n">
        <f aca="false">IF(K7="",4,IF(AND(K7&gt;=Weights!$B$13,K7&lt;=Weights!$B$14),Weights!$B$5,IF(K7&gt;100,15,IF(K7&gt;=20,12,4))))</f>
        <v>4</v>
      </c>
      <c r="Z7" s="10" t="n">
        <f aca="false">IF(OR(Q7="taken",Q7="sold",Q7="ruled-out"),0,MIN(IF(AND(H7="tourist-hotel",O7="none"),Weights!$B$11,100),V7+W7+X7+Y7)+IF(R7="yes",Weights!$B$10,0))</f>
        <v>64</v>
      </c>
      <c r="AA7" s="7" t="s">
        <v>694</v>
      </c>
    </row>
    <row r="8" customFormat="false" ht="23.85" hidden="false" customHeight="false" outlineLevel="0" collapsed="false">
      <c r="A8" s="7" t="n">
        <f aca="false">RANK(Z8,$Z$2:$Z$78)</f>
        <v>1</v>
      </c>
      <c r="B8" s="7" t="s">
        <v>715</v>
      </c>
      <c r="C8" s="7" t="s">
        <v>126</v>
      </c>
      <c r="D8" s="7" t="s">
        <v>126</v>
      </c>
      <c r="E8" s="7" t="s">
        <v>127</v>
      </c>
      <c r="F8" s="7" t="n">
        <v>10</v>
      </c>
      <c r="G8" s="7" t="s">
        <v>688</v>
      </c>
      <c r="H8" s="7" t="s">
        <v>716</v>
      </c>
      <c r="I8" s="7" t="s">
        <v>717</v>
      </c>
      <c r="J8" s="7" t="s">
        <v>718</v>
      </c>
      <c r="K8" s="7" t="n">
        <v>25</v>
      </c>
      <c r="L8" s="7" t="s">
        <v>719</v>
      </c>
      <c r="M8" s="8" t="n">
        <v>545</v>
      </c>
      <c r="N8" s="8" t="n">
        <f aca="false">M8*Weights!$B$12</f>
        <v>24525</v>
      </c>
      <c r="O8" s="7" t="s">
        <v>99</v>
      </c>
      <c r="P8" s="7" t="s">
        <v>691</v>
      </c>
      <c r="Q8" s="7" t="s">
        <v>115</v>
      </c>
      <c r="R8" s="7" t="s">
        <v>116</v>
      </c>
      <c r="S8" s="7" t="n">
        <v>1</v>
      </c>
      <c r="T8" s="7" t="s">
        <v>692</v>
      </c>
      <c r="U8" s="7" t="s">
        <v>693</v>
      </c>
      <c r="V8" s="9" t="n">
        <f aca="false">IF(LEFT(E8,2)="SF",IF(F8="",0,Weights!$B$2*MAX(0,MIN(1,(Weights!$B$9-F8)/(Weights!$B$9-Weights!$B$8)))),0)</f>
        <v>35</v>
      </c>
      <c r="W8" s="9" t="n">
        <f aca="false">IF(M8="",5,Weights!$B$3*MAX(0,MIN(1,(Weights!$B$7-M8)/(Weights!$B$7-Weights!$B$6))))</f>
        <v>30</v>
      </c>
      <c r="X8" s="9" t="n">
        <f aca="false">IF(O8="none",0,IF(O8="unknown",5,Weights!$B$4))</f>
        <v>15</v>
      </c>
      <c r="Y8" s="9" t="n">
        <f aca="false">IF(K8="",4,IF(AND(K8&gt;=Weights!$B$13,K8&lt;=Weights!$B$14),Weights!$B$5,IF(K8&gt;100,15,IF(K8&gt;=20,12,4))))</f>
        <v>12</v>
      </c>
      <c r="Z8" s="10" t="n">
        <f aca="false">IF(OR(Q8="taken",Q8="sold",Q8="ruled-out"),0,MIN(IF(AND(H8="tourist-hotel",O8="none"),Weights!$B$11,100),V8+W8+X8+Y8)+IF(R8="yes",Weights!$B$10,0))</f>
        <v>97</v>
      </c>
      <c r="AA8" s="7" t="s">
        <v>694</v>
      </c>
    </row>
    <row r="9" customFormat="false" ht="23.85" hidden="false" customHeight="false" outlineLevel="0" collapsed="false">
      <c r="A9" s="7" t="n">
        <f aca="false">RANK(Z9,$Z$2:$Z$78)</f>
        <v>11</v>
      </c>
      <c r="B9" s="7" t="s">
        <v>720</v>
      </c>
      <c r="C9" s="7" t="s">
        <v>721</v>
      </c>
      <c r="D9" s="7" t="s">
        <v>722</v>
      </c>
      <c r="E9" s="7" t="s">
        <v>127</v>
      </c>
      <c r="F9" s="7" t="n">
        <v>5</v>
      </c>
      <c r="G9" s="7" t="s">
        <v>688</v>
      </c>
      <c r="H9" s="7" t="s">
        <v>151</v>
      </c>
      <c r="I9" s="7" t="s">
        <v>723</v>
      </c>
      <c r="J9" s="7" t="s">
        <v>724</v>
      </c>
      <c r="K9" s="7"/>
      <c r="L9" s="7" t="s">
        <v>725</v>
      </c>
      <c r="M9" s="8" t="n">
        <v>850</v>
      </c>
      <c r="N9" s="8" t="n">
        <f aca="false">M9*Weights!$B$12</f>
        <v>38250</v>
      </c>
      <c r="O9" s="7" t="s">
        <v>99</v>
      </c>
      <c r="P9" s="7" t="s">
        <v>691</v>
      </c>
      <c r="Q9" s="7" t="s">
        <v>115</v>
      </c>
      <c r="R9" s="7" t="s">
        <v>102</v>
      </c>
      <c r="S9" s="7" t="n">
        <v>1</v>
      </c>
      <c r="T9" s="7" t="s">
        <v>692</v>
      </c>
      <c r="U9" s="7" t="s">
        <v>693</v>
      </c>
      <c r="V9" s="9" t="n">
        <f aca="false">IF(LEFT(E9,2)="SF",IF(F9="",0,Weights!$B$2*MAX(0,MIN(1,(Weights!$B$9-F9)/(Weights!$B$9-Weights!$B$8)))),0)</f>
        <v>35</v>
      </c>
      <c r="W9" s="9" t="n">
        <f aca="false">IF(M9="",5,Weights!$B$3*MAX(0,MIN(1,(Weights!$B$7-M9)/(Weights!$B$7-Weights!$B$6))))</f>
        <v>30</v>
      </c>
      <c r="X9" s="9" t="n">
        <f aca="false">IF(O9="none",0,IF(O9="unknown",5,Weights!$B$4))</f>
        <v>15</v>
      </c>
      <c r="Y9" s="9" t="n">
        <f aca="false">IF(K9="",4,IF(AND(K9&gt;=Weights!$B$13,K9&lt;=Weights!$B$14),Weights!$B$5,IF(K9&gt;100,15,IF(K9&gt;=20,12,4))))</f>
        <v>4</v>
      </c>
      <c r="Z9" s="10" t="n">
        <f aca="false">IF(OR(Q9="taken",Q9="sold",Q9="ruled-out"),0,MIN(IF(AND(H9="tourist-hotel",O9="none"),Weights!$B$11,100),V9+W9+X9+Y9)+IF(R9="yes",Weights!$B$10,0))</f>
        <v>84</v>
      </c>
      <c r="AA9" s="7" t="s">
        <v>694</v>
      </c>
    </row>
    <row r="10" customFormat="false" ht="23.85" hidden="false" customHeight="false" outlineLevel="0" collapsed="false">
      <c r="A10" s="7" t="n">
        <f aca="false">RANK(Z10,$Z$2:$Z$78)</f>
        <v>4</v>
      </c>
      <c r="B10" s="7" t="s">
        <v>726</v>
      </c>
      <c r="C10" s="7" t="s">
        <v>727</v>
      </c>
      <c r="D10" s="7" t="s">
        <v>727</v>
      </c>
      <c r="E10" s="7" t="s">
        <v>127</v>
      </c>
      <c r="F10" s="7" t="n">
        <v>10</v>
      </c>
      <c r="G10" s="7" t="s">
        <v>688</v>
      </c>
      <c r="H10" s="7" t="s">
        <v>716</v>
      </c>
      <c r="I10" s="7" t="s">
        <v>728</v>
      </c>
      <c r="J10" s="7" t="s">
        <v>729</v>
      </c>
      <c r="K10" s="7"/>
      <c r="L10" s="7" t="s">
        <v>730</v>
      </c>
      <c r="M10" s="8" t="n">
        <v>945</v>
      </c>
      <c r="N10" s="8" t="n">
        <f aca="false">M10*Weights!$B$12</f>
        <v>42525</v>
      </c>
      <c r="O10" s="7" t="s">
        <v>99</v>
      </c>
      <c r="P10" s="7" t="s">
        <v>691</v>
      </c>
      <c r="Q10" s="7" t="s">
        <v>115</v>
      </c>
      <c r="R10" s="7" t="s">
        <v>116</v>
      </c>
      <c r="S10" s="7" t="n">
        <v>1</v>
      </c>
      <c r="T10" s="7" t="s">
        <v>692</v>
      </c>
      <c r="U10" s="7" t="s">
        <v>693</v>
      </c>
      <c r="V10" s="9" t="n">
        <f aca="false">IF(LEFT(E10,2)="SF",IF(F10="",0,Weights!$B$2*MAX(0,MIN(1,(Weights!$B$9-F10)/(Weights!$B$9-Weights!$B$8)))),0)</f>
        <v>35</v>
      </c>
      <c r="W10" s="9" t="n">
        <f aca="false">IF(M10="",5,Weights!$B$3*MAX(0,MIN(1,(Weights!$B$7-M10)/(Weights!$B$7-Weights!$B$6))))</f>
        <v>30</v>
      </c>
      <c r="X10" s="9" t="n">
        <f aca="false">IF(O10="none",0,IF(O10="unknown",5,Weights!$B$4))</f>
        <v>15</v>
      </c>
      <c r="Y10" s="9" t="n">
        <f aca="false">IF(K10="",4,IF(AND(K10&gt;=Weights!$B$13,K10&lt;=Weights!$B$14),Weights!$B$5,IF(K10&gt;100,15,IF(K10&gt;=20,12,4))))</f>
        <v>4</v>
      </c>
      <c r="Z10" s="10" t="n">
        <f aca="false">IF(OR(Q10="taken",Q10="sold",Q10="ruled-out"),0,MIN(IF(AND(H10="tourist-hotel",O10="none"),Weights!$B$11,100),V10+W10+X10+Y10)+IF(R10="yes",Weights!$B$10,0))</f>
        <v>89</v>
      </c>
      <c r="AA10" s="7" t="s">
        <v>694</v>
      </c>
    </row>
    <row r="11" customFormat="false" ht="23.85" hidden="false" customHeight="false" outlineLevel="0" collapsed="false">
      <c r="A11" s="7" t="n">
        <f aca="false">RANK(Z11,$Z$2:$Z$78)</f>
        <v>2</v>
      </c>
      <c r="B11" s="7" t="s">
        <v>731</v>
      </c>
      <c r="C11" s="7" t="s">
        <v>732</v>
      </c>
      <c r="D11" s="7" t="s">
        <v>732</v>
      </c>
      <c r="E11" s="7" t="s">
        <v>127</v>
      </c>
      <c r="F11" s="7" t="n">
        <v>11</v>
      </c>
      <c r="G11" s="7" t="s">
        <v>688</v>
      </c>
      <c r="H11" s="7" t="s">
        <v>179</v>
      </c>
      <c r="I11" s="7" t="s">
        <v>710</v>
      </c>
      <c r="J11" s="7" t="s">
        <v>733</v>
      </c>
      <c r="K11" s="7" t="n">
        <v>110</v>
      </c>
      <c r="L11" s="7" t="s">
        <v>734</v>
      </c>
      <c r="M11" s="8" t="n">
        <v>995</v>
      </c>
      <c r="N11" s="8" t="n">
        <f aca="false">M11*Weights!$B$12</f>
        <v>44775</v>
      </c>
      <c r="O11" s="7" t="s">
        <v>99</v>
      </c>
      <c r="P11" s="7" t="s">
        <v>691</v>
      </c>
      <c r="Q11" s="7" t="s">
        <v>115</v>
      </c>
      <c r="R11" s="7" t="s">
        <v>102</v>
      </c>
      <c r="S11" s="7" t="n">
        <v>1</v>
      </c>
      <c r="T11" s="7" t="s">
        <v>692</v>
      </c>
      <c r="U11" s="7" t="s">
        <v>693</v>
      </c>
      <c r="V11" s="9" t="n">
        <f aca="false">IF(LEFT(E11,2)="SF",IF(F11="",0,Weights!$B$2*MAX(0,MIN(1,(Weights!$B$9-F11)/(Weights!$B$9-Weights!$B$8)))),0)</f>
        <v>34</v>
      </c>
      <c r="W11" s="9" t="n">
        <f aca="false">IF(M11="",5,Weights!$B$3*MAX(0,MIN(1,(Weights!$B$7-M11)/(Weights!$B$7-Weights!$B$6))))</f>
        <v>30</v>
      </c>
      <c r="X11" s="9" t="n">
        <f aca="false">IF(O11="none",0,IF(O11="unknown",5,Weights!$B$4))</f>
        <v>15</v>
      </c>
      <c r="Y11" s="9" t="n">
        <f aca="false">IF(K11="",4,IF(AND(K11&gt;=Weights!$B$13,K11&lt;=Weights!$B$14),Weights!$B$5,IF(K11&gt;100,15,IF(K11&gt;=20,12,4))))</f>
        <v>15</v>
      </c>
      <c r="Z11" s="10" t="n">
        <f aca="false">IF(OR(Q11="taken",Q11="sold",Q11="ruled-out"),0,MIN(IF(AND(H11="tourist-hotel",O11="none"),Weights!$B$11,100),V11+W11+X11+Y11)+IF(R11="yes",Weights!$B$10,0))</f>
        <v>94</v>
      </c>
      <c r="AA11" s="7" t="s">
        <v>694</v>
      </c>
    </row>
    <row r="12" customFormat="false" ht="23.85" hidden="false" customHeight="false" outlineLevel="0" collapsed="false">
      <c r="A12" s="7" t="n">
        <f aca="false">RANK(Z12,$Z$2:$Z$78)</f>
        <v>6</v>
      </c>
      <c r="B12" s="7" t="s">
        <v>735</v>
      </c>
      <c r="C12" s="7" t="s">
        <v>736</v>
      </c>
      <c r="D12" s="7" t="s">
        <v>736</v>
      </c>
      <c r="E12" s="7" t="s">
        <v>127</v>
      </c>
      <c r="F12" s="7" t="n">
        <v>12</v>
      </c>
      <c r="G12" s="7" t="s">
        <v>688</v>
      </c>
      <c r="H12" s="7" t="s">
        <v>716</v>
      </c>
      <c r="I12" s="7" t="s">
        <v>728</v>
      </c>
      <c r="J12" s="7" t="s">
        <v>737</v>
      </c>
      <c r="K12" s="7"/>
      <c r="L12" s="7" t="s">
        <v>738</v>
      </c>
      <c r="M12" s="8" t="n">
        <v>1000</v>
      </c>
      <c r="N12" s="8" t="n">
        <f aca="false">M12*Weights!$B$12</f>
        <v>45000</v>
      </c>
      <c r="O12" s="7" t="s">
        <v>99</v>
      </c>
      <c r="P12" s="7" t="s">
        <v>691</v>
      </c>
      <c r="Q12" s="7" t="s">
        <v>115</v>
      </c>
      <c r="R12" s="7" t="s">
        <v>116</v>
      </c>
      <c r="S12" s="7" t="n">
        <v>1</v>
      </c>
      <c r="T12" s="7" t="s">
        <v>692</v>
      </c>
      <c r="U12" s="7" t="s">
        <v>693</v>
      </c>
      <c r="V12" s="9" t="n">
        <f aca="false">IF(LEFT(E12,2)="SF",IF(F12="",0,Weights!$B$2*MAX(0,MIN(1,(Weights!$B$9-F12)/(Weights!$B$9-Weights!$B$8)))),0)</f>
        <v>33</v>
      </c>
      <c r="W12" s="9" t="n">
        <f aca="false">IF(M12="",5,Weights!$B$3*MAX(0,MIN(1,(Weights!$B$7-M12)/(Weights!$B$7-Weights!$B$6))))</f>
        <v>30</v>
      </c>
      <c r="X12" s="9" t="n">
        <f aca="false">IF(O12="none",0,IF(O12="unknown",5,Weights!$B$4))</f>
        <v>15</v>
      </c>
      <c r="Y12" s="9" t="n">
        <f aca="false">IF(K12="",4,IF(AND(K12&gt;=Weights!$B$13,K12&lt;=Weights!$B$14),Weights!$B$5,IF(K12&gt;100,15,IF(K12&gt;=20,12,4))))</f>
        <v>4</v>
      </c>
      <c r="Z12" s="10" t="n">
        <f aca="false">IF(OR(Q12="taken",Q12="sold",Q12="ruled-out"),0,MIN(IF(AND(H12="tourist-hotel",O12="none"),Weights!$B$11,100),V12+W12+X12+Y12)+IF(R12="yes",Weights!$B$10,0))</f>
        <v>87</v>
      </c>
      <c r="AA12" s="7" t="s">
        <v>694</v>
      </c>
    </row>
    <row r="13" customFormat="false" ht="23.85" hidden="false" customHeight="false" outlineLevel="0" collapsed="false">
      <c r="A13" s="7" t="n">
        <f aca="false">RANK(Z13,$Z$2:$Z$78)</f>
        <v>8</v>
      </c>
      <c r="B13" s="7" t="s">
        <v>739</v>
      </c>
      <c r="C13" s="7" t="s">
        <v>740</v>
      </c>
      <c r="D13" s="7" t="s">
        <v>740</v>
      </c>
      <c r="E13" s="7" t="s">
        <v>127</v>
      </c>
      <c r="F13" s="7" t="n">
        <v>12</v>
      </c>
      <c r="G13" s="7" t="s">
        <v>688</v>
      </c>
      <c r="H13" s="7" t="s">
        <v>716</v>
      </c>
      <c r="I13" s="7" t="s">
        <v>728</v>
      </c>
      <c r="J13" s="7" t="s">
        <v>741</v>
      </c>
      <c r="K13" s="7"/>
      <c r="L13" s="7" t="s">
        <v>742</v>
      </c>
      <c r="M13" s="8" t="n">
        <v>1050</v>
      </c>
      <c r="N13" s="8" t="n">
        <f aca="false">M13*Weights!$B$12</f>
        <v>47250</v>
      </c>
      <c r="O13" s="7" t="s">
        <v>99</v>
      </c>
      <c r="P13" s="7" t="s">
        <v>691</v>
      </c>
      <c r="Q13" s="7" t="s">
        <v>115</v>
      </c>
      <c r="R13" s="7" t="s">
        <v>116</v>
      </c>
      <c r="S13" s="7" t="n">
        <v>1</v>
      </c>
      <c r="T13" s="7" t="s">
        <v>692</v>
      </c>
      <c r="U13" s="7" t="s">
        <v>693</v>
      </c>
      <c r="V13" s="9" t="n">
        <f aca="false">IF(LEFT(E13,2)="SF",IF(F13="",0,Weights!$B$2*MAX(0,MIN(1,(Weights!$B$9-F13)/(Weights!$B$9-Weights!$B$8)))),0)</f>
        <v>33</v>
      </c>
      <c r="W13" s="9" t="n">
        <f aca="false">IF(M13="",5,Weights!$B$3*MAX(0,MIN(1,(Weights!$B$7-M13)/(Weights!$B$7-Weights!$B$6))))</f>
        <v>28.75</v>
      </c>
      <c r="X13" s="9" t="n">
        <f aca="false">IF(O13="none",0,IF(O13="unknown",5,Weights!$B$4))</f>
        <v>15</v>
      </c>
      <c r="Y13" s="9" t="n">
        <f aca="false">IF(K13="",4,IF(AND(K13&gt;=Weights!$B$13,K13&lt;=Weights!$B$14),Weights!$B$5,IF(K13&gt;100,15,IF(K13&gt;=20,12,4))))</f>
        <v>4</v>
      </c>
      <c r="Z13" s="10" t="n">
        <f aca="false">IF(OR(Q13="taken",Q13="sold",Q13="ruled-out"),0,MIN(IF(AND(H13="tourist-hotel",O13="none"),Weights!$B$11,100),V13+W13+X13+Y13)+IF(R13="yes",Weights!$B$10,0))</f>
        <v>85.75</v>
      </c>
      <c r="AA13" s="7" t="s">
        <v>694</v>
      </c>
    </row>
    <row r="14" customFormat="false" ht="23.85" hidden="false" customHeight="false" outlineLevel="0" collapsed="false">
      <c r="A14" s="7" t="n">
        <f aca="false">RANK(Z14,$Z$2:$Z$78)</f>
        <v>10</v>
      </c>
      <c r="B14" s="7" t="s">
        <v>743</v>
      </c>
      <c r="C14" s="7" t="s">
        <v>744</v>
      </c>
      <c r="D14" s="7" t="s">
        <v>744</v>
      </c>
      <c r="E14" s="7" t="s">
        <v>127</v>
      </c>
      <c r="F14" s="7" t="n">
        <v>13</v>
      </c>
      <c r="G14" s="7" t="s">
        <v>688</v>
      </c>
      <c r="H14" s="7" t="s">
        <v>716</v>
      </c>
      <c r="I14" s="7" t="s">
        <v>728</v>
      </c>
      <c r="J14" s="7" t="s">
        <v>741</v>
      </c>
      <c r="K14" s="7"/>
      <c r="L14" s="7"/>
      <c r="M14" s="8" t="n">
        <v>1050</v>
      </c>
      <c r="N14" s="8" t="n">
        <f aca="false">M14*Weights!$B$12</f>
        <v>47250</v>
      </c>
      <c r="O14" s="7" t="s">
        <v>99</v>
      </c>
      <c r="P14" s="7" t="s">
        <v>691</v>
      </c>
      <c r="Q14" s="7" t="s">
        <v>115</v>
      </c>
      <c r="R14" s="7" t="s">
        <v>116</v>
      </c>
      <c r="S14" s="7" t="n">
        <v>1</v>
      </c>
      <c r="T14" s="7" t="s">
        <v>692</v>
      </c>
      <c r="U14" s="7" t="s">
        <v>693</v>
      </c>
      <c r="V14" s="9" t="n">
        <f aca="false">IF(LEFT(E14,2)="SF",IF(F14="",0,Weights!$B$2*MAX(0,MIN(1,(Weights!$B$9-F14)/(Weights!$B$9-Weights!$B$8)))),0)</f>
        <v>32</v>
      </c>
      <c r="W14" s="9" t="n">
        <f aca="false">IF(M14="",5,Weights!$B$3*MAX(0,MIN(1,(Weights!$B$7-M14)/(Weights!$B$7-Weights!$B$6))))</f>
        <v>28.75</v>
      </c>
      <c r="X14" s="9" t="n">
        <f aca="false">IF(O14="none",0,IF(O14="unknown",5,Weights!$B$4))</f>
        <v>15</v>
      </c>
      <c r="Y14" s="9" t="n">
        <f aca="false">IF(K14="",4,IF(AND(K14&gt;=Weights!$B$13,K14&lt;=Weights!$B$14),Weights!$B$5,IF(K14&gt;100,15,IF(K14&gt;=20,12,4))))</f>
        <v>4</v>
      </c>
      <c r="Z14" s="10" t="n">
        <f aca="false">IF(OR(Q14="taken",Q14="sold",Q14="ruled-out"),0,MIN(IF(AND(H14="tourist-hotel",O14="none"),Weights!$B$11,100),V14+W14+X14+Y14)+IF(R14="yes",Weights!$B$10,0))</f>
        <v>84.75</v>
      </c>
      <c r="AA14" s="7" t="s">
        <v>694</v>
      </c>
    </row>
    <row r="15" customFormat="false" ht="23.85" hidden="false" customHeight="false" outlineLevel="0" collapsed="false">
      <c r="A15" s="7" t="n">
        <f aca="false">RANK(Z15,$Z$2:$Z$78)</f>
        <v>5</v>
      </c>
      <c r="B15" s="7" t="s">
        <v>745</v>
      </c>
      <c r="C15" s="7" t="s">
        <v>746</v>
      </c>
      <c r="D15" s="7" t="s">
        <v>642</v>
      </c>
      <c r="E15" s="7" t="s">
        <v>127</v>
      </c>
      <c r="F15" s="7" t="n">
        <v>9</v>
      </c>
      <c r="G15" s="7" t="s">
        <v>688</v>
      </c>
      <c r="H15" s="7" t="s">
        <v>179</v>
      </c>
      <c r="I15" s="7" t="s">
        <v>710</v>
      </c>
      <c r="J15" s="7" t="s">
        <v>747</v>
      </c>
      <c r="K15" s="7" t="n">
        <v>22</v>
      </c>
      <c r="L15" s="7" t="s">
        <v>748</v>
      </c>
      <c r="M15" s="8" t="n">
        <v>1195</v>
      </c>
      <c r="N15" s="8" t="n">
        <f aca="false">M15*Weights!$B$12</f>
        <v>53775</v>
      </c>
      <c r="O15" s="7" t="s">
        <v>99</v>
      </c>
      <c r="P15" s="7" t="s">
        <v>691</v>
      </c>
      <c r="Q15" s="7" t="s">
        <v>115</v>
      </c>
      <c r="R15" s="7" t="s">
        <v>102</v>
      </c>
      <c r="S15" s="7" t="n">
        <v>1</v>
      </c>
      <c r="T15" s="7" t="s">
        <v>692</v>
      </c>
      <c r="U15" s="7" t="s">
        <v>693</v>
      </c>
      <c r="V15" s="9" t="n">
        <f aca="false">IF(LEFT(E15,2)="SF",IF(F15="",0,Weights!$B$2*MAX(0,MIN(1,(Weights!$B$9-F15)/(Weights!$B$9-Weights!$B$8)))),0)</f>
        <v>35</v>
      </c>
      <c r="W15" s="9" t="n">
        <f aca="false">IF(M15="",5,Weights!$B$3*MAX(0,MIN(1,(Weights!$B$7-M15)/(Weights!$B$7-Weights!$B$6))))</f>
        <v>25.125</v>
      </c>
      <c r="X15" s="9" t="n">
        <f aca="false">IF(O15="none",0,IF(O15="unknown",5,Weights!$B$4))</f>
        <v>15</v>
      </c>
      <c r="Y15" s="9" t="n">
        <f aca="false">IF(K15="",4,IF(AND(K15&gt;=Weights!$B$13,K15&lt;=Weights!$B$14),Weights!$B$5,IF(K15&gt;100,15,IF(K15&gt;=20,12,4))))</f>
        <v>12</v>
      </c>
      <c r="Z15" s="10" t="n">
        <f aca="false">IF(OR(Q15="taken",Q15="sold",Q15="ruled-out"),0,MIN(IF(AND(H15="tourist-hotel",O15="none"),Weights!$B$11,100),V15+W15+X15+Y15)+IF(R15="yes",Weights!$B$10,0))</f>
        <v>87.125</v>
      </c>
      <c r="AA15" s="7" t="s">
        <v>694</v>
      </c>
    </row>
    <row r="16" customFormat="false" ht="23.85" hidden="false" customHeight="false" outlineLevel="0" collapsed="false">
      <c r="A16" s="7" t="n">
        <f aca="false">RANK(Z16,$Z$2:$Z$78)</f>
        <v>9</v>
      </c>
      <c r="B16" s="7" t="s">
        <v>749</v>
      </c>
      <c r="C16" s="7" t="s">
        <v>750</v>
      </c>
      <c r="D16" s="7" t="s">
        <v>642</v>
      </c>
      <c r="E16" s="7" t="s">
        <v>127</v>
      </c>
      <c r="F16" s="7" t="n">
        <v>12</v>
      </c>
      <c r="G16" s="7" t="s">
        <v>688</v>
      </c>
      <c r="H16" s="7" t="s">
        <v>179</v>
      </c>
      <c r="I16" s="7" t="s">
        <v>710</v>
      </c>
      <c r="J16" s="7" t="s">
        <v>747</v>
      </c>
      <c r="K16" s="7" t="n">
        <v>22</v>
      </c>
      <c r="L16" s="7" t="s">
        <v>748</v>
      </c>
      <c r="M16" s="8" t="n">
        <v>1195</v>
      </c>
      <c r="N16" s="8" t="n">
        <f aca="false">M16*Weights!$B$12</f>
        <v>53775</v>
      </c>
      <c r="O16" s="7" t="s">
        <v>99</v>
      </c>
      <c r="P16" s="7" t="s">
        <v>691</v>
      </c>
      <c r="Q16" s="7" t="s">
        <v>115</v>
      </c>
      <c r="R16" s="7" t="s">
        <v>102</v>
      </c>
      <c r="S16" s="7" t="n">
        <v>1</v>
      </c>
      <c r="T16" s="7" t="s">
        <v>692</v>
      </c>
      <c r="U16" s="7" t="s">
        <v>693</v>
      </c>
      <c r="V16" s="9" t="n">
        <f aca="false">IF(LEFT(E16,2)="SF",IF(F16="",0,Weights!$B$2*MAX(0,MIN(1,(Weights!$B$9-F16)/(Weights!$B$9-Weights!$B$8)))),0)</f>
        <v>33</v>
      </c>
      <c r="W16" s="9" t="n">
        <f aca="false">IF(M16="",5,Weights!$B$3*MAX(0,MIN(1,(Weights!$B$7-M16)/(Weights!$B$7-Weights!$B$6))))</f>
        <v>25.125</v>
      </c>
      <c r="X16" s="9" t="n">
        <f aca="false">IF(O16="none",0,IF(O16="unknown",5,Weights!$B$4))</f>
        <v>15</v>
      </c>
      <c r="Y16" s="9" t="n">
        <f aca="false">IF(K16="",4,IF(AND(K16&gt;=Weights!$B$13,K16&lt;=Weights!$B$14),Weights!$B$5,IF(K16&gt;100,15,IF(K16&gt;=20,12,4))))</f>
        <v>12</v>
      </c>
      <c r="Z16" s="10" t="n">
        <f aca="false">IF(OR(Q16="taken",Q16="sold",Q16="ruled-out"),0,MIN(IF(AND(H16="tourist-hotel",O16="none"),Weights!$B$11,100),V16+W16+X16+Y16)+IF(R16="yes",Weights!$B$10,0))</f>
        <v>85.125</v>
      </c>
      <c r="AA16" s="7" t="s">
        <v>694</v>
      </c>
    </row>
    <row r="17" customFormat="false" ht="23.85" hidden="false" customHeight="false" outlineLevel="0" collapsed="false">
      <c r="A17" s="7" t="n">
        <f aca="false">RANK(Z17,$Z$2:$Z$78)</f>
        <v>22</v>
      </c>
      <c r="B17" s="7" t="s">
        <v>751</v>
      </c>
      <c r="C17" s="7" t="s">
        <v>752</v>
      </c>
      <c r="D17" s="7" t="s">
        <v>752</v>
      </c>
      <c r="E17" s="7" t="s">
        <v>127</v>
      </c>
      <c r="F17" s="7" t="n">
        <v>15</v>
      </c>
      <c r="G17" s="7" t="s">
        <v>688</v>
      </c>
      <c r="H17" s="7" t="s">
        <v>179</v>
      </c>
      <c r="I17" s="7" t="s">
        <v>710</v>
      </c>
      <c r="J17" s="7" t="s">
        <v>753</v>
      </c>
      <c r="K17" s="7" t="n">
        <v>18</v>
      </c>
      <c r="L17" s="7" t="s">
        <v>754</v>
      </c>
      <c r="M17" s="8" t="n">
        <v>1200</v>
      </c>
      <c r="N17" s="8" t="n">
        <f aca="false">M17*Weights!$B$12</f>
        <v>54000</v>
      </c>
      <c r="O17" s="7" t="s">
        <v>99</v>
      </c>
      <c r="P17" s="7" t="s">
        <v>691</v>
      </c>
      <c r="Q17" s="7" t="s">
        <v>115</v>
      </c>
      <c r="R17" s="7" t="s">
        <v>102</v>
      </c>
      <c r="S17" s="7" t="n">
        <v>1</v>
      </c>
      <c r="T17" s="7" t="s">
        <v>692</v>
      </c>
      <c r="U17" s="7" t="s">
        <v>693</v>
      </c>
      <c r="V17" s="9" t="n">
        <f aca="false">IF(LEFT(E17,2)="SF",IF(F17="",0,Weights!$B$2*MAX(0,MIN(1,(Weights!$B$9-F17)/(Weights!$B$9-Weights!$B$8)))),0)</f>
        <v>30</v>
      </c>
      <c r="W17" s="9" t="n">
        <f aca="false">IF(M17="",5,Weights!$B$3*MAX(0,MIN(1,(Weights!$B$7-M17)/(Weights!$B$7-Weights!$B$6))))</f>
        <v>25</v>
      </c>
      <c r="X17" s="9" t="n">
        <f aca="false">IF(O17="none",0,IF(O17="unknown",5,Weights!$B$4))</f>
        <v>15</v>
      </c>
      <c r="Y17" s="9" t="n">
        <f aca="false">IF(K17="",4,IF(AND(K17&gt;=Weights!$B$13,K17&lt;=Weights!$B$14),Weights!$B$5,IF(K17&gt;100,15,IF(K17&gt;=20,12,4))))</f>
        <v>4</v>
      </c>
      <c r="Z17" s="10" t="n">
        <f aca="false">IF(OR(Q17="taken",Q17="sold",Q17="ruled-out"),0,MIN(IF(AND(H17="tourist-hotel",O17="none"),Weights!$B$11,100),V17+W17+X17+Y17)+IF(R17="yes",Weights!$B$10,0))</f>
        <v>74</v>
      </c>
      <c r="AA17" s="7" t="s">
        <v>694</v>
      </c>
    </row>
    <row r="18" customFormat="false" ht="23.85" hidden="false" customHeight="false" outlineLevel="0" collapsed="false">
      <c r="A18" s="7" t="n">
        <f aca="false">RANK(Z18,$Z$2:$Z$78)</f>
        <v>18</v>
      </c>
      <c r="B18" s="7" t="s">
        <v>755</v>
      </c>
      <c r="C18" s="7" t="s">
        <v>139</v>
      </c>
      <c r="D18" s="7" t="s">
        <v>139</v>
      </c>
      <c r="E18" s="7" t="s">
        <v>127</v>
      </c>
      <c r="F18" s="7" t="n">
        <v>10</v>
      </c>
      <c r="G18" s="7" t="s">
        <v>688</v>
      </c>
      <c r="H18" s="7" t="s">
        <v>179</v>
      </c>
      <c r="I18" s="7" t="s">
        <v>710</v>
      </c>
      <c r="J18" s="7" t="s">
        <v>756</v>
      </c>
      <c r="K18" s="7" t="n">
        <v>10</v>
      </c>
      <c r="L18" s="7" t="s">
        <v>757</v>
      </c>
      <c r="M18" s="8" t="n">
        <v>1295</v>
      </c>
      <c r="N18" s="8" t="n">
        <f aca="false">M18*Weights!$B$12</f>
        <v>58275</v>
      </c>
      <c r="O18" s="7" t="s">
        <v>99</v>
      </c>
      <c r="P18" s="7" t="s">
        <v>691</v>
      </c>
      <c r="Q18" s="7" t="s">
        <v>115</v>
      </c>
      <c r="R18" s="7" t="s">
        <v>102</v>
      </c>
      <c r="S18" s="7" t="n">
        <v>1</v>
      </c>
      <c r="T18" s="7" t="s">
        <v>692</v>
      </c>
      <c r="U18" s="7" t="s">
        <v>693</v>
      </c>
      <c r="V18" s="9" t="n">
        <f aca="false">IF(LEFT(E18,2)="SF",IF(F18="",0,Weights!$B$2*MAX(0,MIN(1,(Weights!$B$9-F18)/(Weights!$B$9-Weights!$B$8)))),0)</f>
        <v>35</v>
      </c>
      <c r="W18" s="9" t="n">
        <f aca="false">IF(M18="",5,Weights!$B$3*MAX(0,MIN(1,(Weights!$B$7-M18)/(Weights!$B$7-Weights!$B$6))))</f>
        <v>22.625</v>
      </c>
      <c r="X18" s="9" t="n">
        <f aca="false">IF(O18="none",0,IF(O18="unknown",5,Weights!$B$4))</f>
        <v>15</v>
      </c>
      <c r="Y18" s="9" t="n">
        <f aca="false">IF(K18="",4,IF(AND(K18&gt;=Weights!$B$13,K18&lt;=Weights!$B$14),Weights!$B$5,IF(K18&gt;100,15,IF(K18&gt;=20,12,4))))</f>
        <v>4</v>
      </c>
      <c r="Z18" s="10" t="n">
        <f aca="false">IF(OR(Q18="taken",Q18="sold",Q18="ruled-out"),0,MIN(IF(AND(H18="tourist-hotel",O18="none"),Weights!$B$11,100),V18+W18+X18+Y18)+IF(R18="yes",Weights!$B$10,0))</f>
        <v>76.625</v>
      </c>
      <c r="AA18" s="7" t="s">
        <v>694</v>
      </c>
    </row>
    <row r="19" customFormat="false" ht="23.85" hidden="false" customHeight="false" outlineLevel="0" collapsed="false">
      <c r="A19" s="7" t="n">
        <f aca="false">RANK(Z19,$Z$2:$Z$78)</f>
        <v>18</v>
      </c>
      <c r="B19" s="7" t="s">
        <v>758</v>
      </c>
      <c r="C19" s="7" t="s">
        <v>759</v>
      </c>
      <c r="D19" s="7" t="s">
        <v>759</v>
      </c>
      <c r="E19" s="7" t="s">
        <v>127</v>
      </c>
      <c r="F19" s="7" t="n">
        <v>9</v>
      </c>
      <c r="G19" s="7" t="s">
        <v>688</v>
      </c>
      <c r="H19" s="7" t="s">
        <v>179</v>
      </c>
      <c r="I19" s="7" t="s">
        <v>710</v>
      </c>
      <c r="J19" s="7" t="s">
        <v>760</v>
      </c>
      <c r="K19" s="7" t="n">
        <v>12</v>
      </c>
      <c r="L19" s="7" t="s">
        <v>757</v>
      </c>
      <c r="M19" s="8" t="n">
        <v>1295</v>
      </c>
      <c r="N19" s="8" t="n">
        <f aca="false">M19*Weights!$B$12</f>
        <v>58275</v>
      </c>
      <c r="O19" s="7" t="s">
        <v>99</v>
      </c>
      <c r="P19" s="7" t="s">
        <v>691</v>
      </c>
      <c r="Q19" s="7" t="s">
        <v>115</v>
      </c>
      <c r="R19" s="7" t="s">
        <v>102</v>
      </c>
      <c r="S19" s="7" t="n">
        <v>1</v>
      </c>
      <c r="T19" s="7" t="s">
        <v>692</v>
      </c>
      <c r="U19" s="7" t="s">
        <v>693</v>
      </c>
      <c r="V19" s="9" t="n">
        <f aca="false">IF(LEFT(E19,2)="SF",IF(F19="",0,Weights!$B$2*MAX(0,MIN(1,(Weights!$B$9-F19)/(Weights!$B$9-Weights!$B$8)))),0)</f>
        <v>35</v>
      </c>
      <c r="W19" s="9" t="n">
        <f aca="false">IF(M19="",5,Weights!$B$3*MAX(0,MIN(1,(Weights!$B$7-M19)/(Weights!$B$7-Weights!$B$6))))</f>
        <v>22.625</v>
      </c>
      <c r="X19" s="9" t="n">
        <f aca="false">IF(O19="none",0,IF(O19="unknown",5,Weights!$B$4))</f>
        <v>15</v>
      </c>
      <c r="Y19" s="9" t="n">
        <f aca="false">IF(K19="",4,IF(AND(K19&gt;=Weights!$B$13,K19&lt;=Weights!$B$14),Weights!$B$5,IF(K19&gt;100,15,IF(K19&gt;=20,12,4))))</f>
        <v>4</v>
      </c>
      <c r="Z19" s="10" t="n">
        <f aca="false">IF(OR(Q19="taken",Q19="sold",Q19="ruled-out"),0,MIN(IF(AND(H19="tourist-hotel",O19="none"),Weights!$B$11,100),V19+W19+X19+Y19)+IF(R19="yes",Weights!$B$10,0))</f>
        <v>76.625</v>
      </c>
      <c r="AA19" s="7" t="s">
        <v>694</v>
      </c>
    </row>
    <row r="20" customFormat="false" ht="23.85" hidden="false" customHeight="false" outlineLevel="0" collapsed="false">
      <c r="A20" s="7" t="n">
        <f aca="false">RANK(Z20,$Z$2:$Z$78)</f>
        <v>26</v>
      </c>
      <c r="B20" s="7" t="s">
        <v>761</v>
      </c>
      <c r="C20" s="7" t="s">
        <v>762</v>
      </c>
      <c r="D20" s="7" t="s">
        <v>150</v>
      </c>
      <c r="E20" s="7" t="s">
        <v>127</v>
      </c>
      <c r="F20" s="7" t="n">
        <v>19</v>
      </c>
      <c r="G20" s="7" t="s">
        <v>688</v>
      </c>
      <c r="H20" s="7" t="s">
        <v>179</v>
      </c>
      <c r="I20" s="7" t="s">
        <v>710</v>
      </c>
      <c r="J20" s="7" t="s">
        <v>763</v>
      </c>
      <c r="K20" s="7" t="n">
        <v>30</v>
      </c>
      <c r="L20" s="7" t="s">
        <v>764</v>
      </c>
      <c r="M20" s="8" t="n">
        <v>1395</v>
      </c>
      <c r="N20" s="8" t="n">
        <f aca="false">M20*Weights!$B$12</f>
        <v>62775</v>
      </c>
      <c r="O20" s="7" t="s">
        <v>99</v>
      </c>
      <c r="P20" s="7" t="s">
        <v>691</v>
      </c>
      <c r="Q20" s="7" t="s">
        <v>115</v>
      </c>
      <c r="R20" s="7" t="s">
        <v>102</v>
      </c>
      <c r="S20" s="7" t="n">
        <v>1</v>
      </c>
      <c r="T20" s="7" t="s">
        <v>692</v>
      </c>
      <c r="U20" s="7" t="s">
        <v>693</v>
      </c>
      <c r="V20" s="9" t="n">
        <f aca="false">IF(LEFT(E20,2)="SF",IF(F20="",0,Weights!$B$2*MAX(0,MIN(1,(Weights!$B$9-F20)/(Weights!$B$9-Weights!$B$8)))),0)</f>
        <v>26</v>
      </c>
      <c r="W20" s="9" t="n">
        <f aca="false">IF(M20="",5,Weights!$B$3*MAX(0,MIN(1,(Weights!$B$7-M20)/(Weights!$B$7-Weights!$B$6))))</f>
        <v>20.125</v>
      </c>
      <c r="X20" s="9" t="n">
        <f aca="false">IF(O20="none",0,IF(O20="unknown",5,Weights!$B$4))</f>
        <v>15</v>
      </c>
      <c r="Y20" s="9" t="n">
        <f aca="false">IF(K20="",4,IF(AND(K20&gt;=Weights!$B$13,K20&lt;=Weights!$B$14),Weights!$B$5,IF(K20&gt;100,15,IF(K20&gt;=20,12,4))))</f>
        <v>12</v>
      </c>
      <c r="Z20" s="10" t="n">
        <f aca="false">IF(OR(Q20="taken",Q20="sold",Q20="ruled-out"),0,MIN(IF(AND(H20="tourist-hotel",O20="none"),Weights!$B$11,100),V20+W20+X20+Y20)+IF(R20="yes",Weights!$B$10,0))</f>
        <v>73.125</v>
      </c>
      <c r="AA20" s="7" t="s">
        <v>694</v>
      </c>
    </row>
    <row r="21" customFormat="false" ht="23.85" hidden="false" customHeight="false" outlineLevel="0" collapsed="false">
      <c r="A21" s="7" t="n">
        <f aca="false">RANK(Z21,$Z$2:$Z$78)</f>
        <v>14</v>
      </c>
      <c r="B21" s="7" t="s">
        <v>765</v>
      </c>
      <c r="C21" s="7" t="s">
        <v>707</v>
      </c>
      <c r="D21" s="7" t="s">
        <v>707</v>
      </c>
      <c r="E21" s="7" t="s">
        <v>127</v>
      </c>
      <c r="F21" s="7" t="n">
        <v>11</v>
      </c>
      <c r="G21" s="7" t="s">
        <v>688</v>
      </c>
      <c r="H21" s="7" t="s">
        <v>179</v>
      </c>
      <c r="I21" s="7" t="s">
        <v>710</v>
      </c>
      <c r="J21" s="7" t="s">
        <v>766</v>
      </c>
      <c r="K21" s="7" t="n">
        <v>35</v>
      </c>
      <c r="L21" s="7" t="s">
        <v>767</v>
      </c>
      <c r="M21" s="8" t="n">
        <v>1395</v>
      </c>
      <c r="N21" s="8" t="n">
        <f aca="false">M21*Weights!$B$12</f>
        <v>62775</v>
      </c>
      <c r="O21" s="7" t="s">
        <v>99</v>
      </c>
      <c r="P21" s="7" t="s">
        <v>691</v>
      </c>
      <c r="Q21" s="7" t="s">
        <v>115</v>
      </c>
      <c r="R21" s="7" t="s">
        <v>102</v>
      </c>
      <c r="S21" s="7" t="n">
        <v>1</v>
      </c>
      <c r="T21" s="7" t="s">
        <v>692</v>
      </c>
      <c r="U21" s="7" t="s">
        <v>693</v>
      </c>
      <c r="V21" s="9" t="n">
        <f aca="false">IF(LEFT(E21,2)="SF",IF(F21="",0,Weights!$B$2*MAX(0,MIN(1,(Weights!$B$9-F21)/(Weights!$B$9-Weights!$B$8)))),0)</f>
        <v>34</v>
      </c>
      <c r="W21" s="9" t="n">
        <f aca="false">IF(M21="",5,Weights!$B$3*MAX(0,MIN(1,(Weights!$B$7-M21)/(Weights!$B$7-Weights!$B$6))))</f>
        <v>20.125</v>
      </c>
      <c r="X21" s="9" t="n">
        <f aca="false">IF(O21="none",0,IF(O21="unknown",5,Weights!$B$4))</f>
        <v>15</v>
      </c>
      <c r="Y21" s="9" t="n">
        <f aca="false">IF(K21="",4,IF(AND(K21&gt;=Weights!$B$13,K21&lt;=Weights!$B$14),Weights!$B$5,IF(K21&gt;100,15,IF(K21&gt;=20,12,4))))</f>
        <v>12</v>
      </c>
      <c r="Z21" s="10" t="n">
        <f aca="false">IF(OR(Q21="taken",Q21="sold",Q21="ruled-out"),0,MIN(IF(AND(H21="tourist-hotel",O21="none"),Weights!$B$11,100),V21+W21+X21+Y21)+IF(R21="yes",Weights!$B$10,0))</f>
        <v>81.125</v>
      </c>
      <c r="AA21" s="7" t="s">
        <v>694</v>
      </c>
    </row>
    <row r="22" customFormat="false" ht="35.05" hidden="false" customHeight="false" outlineLevel="0" collapsed="false">
      <c r="A22" s="7" t="n">
        <f aca="false">RANK(Z22,$Z$2:$Z$78)</f>
        <v>39</v>
      </c>
      <c r="B22" s="7" t="s">
        <v>768</v>
      </c>
      <c r="C22" s="7" t="s">
        <v>769</v>
      </c>
      <c r="D22" s="7" t="s">
        <v>770</v>
      </c>
      <c r="E22" s="7" t="s">
        <v>127</v>
      </c>
      <c r="F22" s="7" t="n">
        <v>15</v>
      </c>
      <c r="G22" s="7" t="s">
        <v>688</v>
      </c>
      <c r="H22" s="7" t="s">
        <v>179</v>
      </c>
      <c r="I22" s="7" t="s">
        <v>710</v>
      </c>
      <c r="J22" s="7" t="s">
        <v>771</v>
      </c>
      <c r="K22" s="7" t="n">
        <v>20</v>
      </c>
      <c r="L22" s="7" t="s">
        <v>667</v>
      </c>
      <c r="M22" s="8" t="n">
        <v>1595</v>
      </c>
      <c r="N22" s="8" t="n">
        <f aca="false">M22*Weights!$B$12</f>
        <v>71775</v>
      </c>
      <c r="O22" s="7" t="s">
        <v>102</v>
      </c>
      <c r="P22" s="7" t="s">
        <v>772</v>
      </c>
      <c r="Q22" s="7" t="s">
        <v>115</v>
      </c>
      <c r="R22" s="7" t="s">
        <v>83</v>
      </c>
      <c r="S22" s="7" t="n">
        <v>1</v>
      </c>
      <c r="T22" s="7" t="s">
        <v>692</v>
      </c>
      <c r="U22" s="7" t="s">
        <v>693</v>
      </c>
      <c r="V22" s="9" t="n">
        <f aca="false">IF(LEFT(E22,2)="SF",IF(F22="",0,Weights!$B$2*MAX(0,MIN(1,(Weights!$B$9-F22)/(Weights!$B$9-Weights!$B$8)))),0)</f>
        <v>30</v>
      </c>
      <c r="W22" s="9" t="n">
        <f aca="false">IF(M22="",5,Weights!$B$3*MAX(0,MIN(1,(Weights!$B$7-M22)/(Weights!$B$7-Weights!$B$6))))</f>
        <v>15.125</v>
      </c>
      <c r="X22" s="9" t="n">
        <f aca="false">IF(O22="none",0,IF(O22="unknown",5,Weights!$B$4))</f>
        <v>5</v>
      </c>
      <c r="Y22" s="9" t="n">
        <f aca="false">IF(K22="",4,IF(AND(K22&gt;=Weights!$B$13,K22&lt;=Weights!$B$14),Weights!$B$5,IF(K22&gt;100,15,IF(K22&gt;=20,12,4))))</f>
        <v>12</v>
      </c>
      <c r="Z22" s="10" t="n">
        <f aca="false">IF(OR(Q22="taken",Q22="sold",Q22="ruled-out"),0,MIN(IF(AND(H22="tourist-hotel",O22="none"),Weights!$B$11,100),V22+W22+X22+Y22)+IF(R22="yes",Weights!$B$10,0))</f>
        <v>62.125</v>
      </c>
      <c r="AA22" s="7" t="s">
        <v>694</v>
      </c>
    </row>
    <row r="23" customFormat="false" ht="23.85" hidden="false" customHeight="false" outlineLevel="0" collapsed="false">
      <c r="A23" s="7" t="n">
        <f aca="false">RANK(Z23,$Z$2:$Z$78)</f>
        <v>49</v>
      </c>
      <c r="B23" s="7" t="s">
        <v>773</v>
      </c>
      <c r="C23" s="7" t="s">
        <v>774</v>
      </c>
      <c r="D23" s="7" t="s">
        <v>774</v>
      </c>
      <c r="E23" s="7" t="s">
        <v>97</v>
      </c>
      <c r="F23" s="7"/>
      <c r="G23" s="7" t="s">
        <v>688</v>
      </c>
      <c r="H23" s="7" t="s">
        <v>179</v>
      </c>
      <c r="I23" s="7" t="s">
        <v>710</v>
      </c>
      <c r="J23" s="7" t="s">
        <v>775</v>
      </c>
      <c r="K23" s="7"/>
      <c r="L23" s="7" t="s">
        <v>776</v>
      </c>
      <c r="M23" s="8" t="n">
        <v>900</v>
      </c>
      <c r="N23" s="8" t="n">
        <f aca="false">M23*Weights!$B$12</f>
        <v>40500</v>
      </c>
      <c r="O23" s="7" t="s">
        <v>99</v>
      </c>
      <c r="P23" s="7" t="s">
        <v>691</v>
      </c>
      <c r="Q23" s="7" t="s">
        <v>115</v>
      </c>
      <c r="R23" s="7" t="s">
        <v>102</v>
      </c>
      <c r="S23" s="7" t="n">
        <v>1</v>
      </c>
      <c r="T23" s="7" t="s">
        <v>692</v>
      </c>
      <c r="U23" s="7" t="s">
        <v>693</v>
      </c>
      <c r="V23" s="9" t="n">
        <f aca="false">IF(LEFT(E23,2)="SF",IF(F23="",0,Weights!$B$2*MAX(0,MIN(1,(Weights!$B$9-F23)/(Weights!$B$9-Weights!$B$8)))),0)</f>
        <v>0</v>
      </c>
      <c r="W23" s="9" t="n">
        <f aca="false">IF(M23="",5,Weights!$B$3*MAX(0,MIN(1,(Weights!$B$7-M23)/(Weights!$B$7-Weights!$B$6))))</f>
        <v>30</v>
      </c>
      <c r="X23" s="9" t="n">
        <f aca="false">IF(O23="none",0,IF(O23="unknown",5,Weights!$B$4))</f>
        <v>15</v>
      </c>
      <c r="Y23" s="9" t="n">
        <f aca="false">IF(K23="",4,IF(AND(K23&gt;=Weights!$B$13,K23&lt;=Weights!$B$14),Weights!$B$5,IF(K23&gt;100,15,IF(K23&gt;=20,12,4))))</f>
        <v>4</v>
      </c>
      <c r="Z23" s="10" t="n">
        <f aca="false">IF(OR(Q23="taken",Q23="sold",Q23="ruled-out"),0,MIN(IF(AND(H23="tourist-hotel",O23="none"),Weights!$B$11,100),V23+W23+X23+Y23)+IF(R23="yes",Weights!$B$10,0))</f>
        <v>49</v>
      </c>
      <c r="AA23" s="7" t="s">
        <v>694</v>
      </c>
    </row>
    <row r="24" customFormat="false" ht="23.85" hidden="false" customHeight="false" outlineLevel="0" collapsed="false">
      <c r="A24" s="7" t="n">
        <f aca="false">RANK(Z24,$Z$2:$Z$78)</f>
        <v>22</v>
      </c>
      <c r="B24" s="7" t="s">
        <v>777</v>
      </c>
      <c r="C24" s="7" t="s">
        <v>778</v>
      </c>
      <c r="D24" s="7" t="s">
        <v>779</v>
      </c>
      <c r="E24" s="7" t="s">
        <v>97</v>
      </c>
      <c r="F24" s="7" t="n">
        <v>25</v>
      </c>
      <c r="G24" s="7" t="s">
        <v>688</v>
      </c>
      <c r="H24" s="7" t="s">
        <v>716</v>
      </c>
      <c r="I24" s="7" t="s">
        <v>728</v>
      </c>
      <c r="J24" s="7" t="s">
        <v>741</v>
      </c>
      <c r="K24" s="7"/>
      <c r="L24" s="7" t="s">
        <v>780</v>
      </c>
      <c r="M24" s="8" t="n">
        <v>1000</v>
      </c>
      <c r="N24" s="8" t="n">
        <f aca="false">M24*Weights!$B$12</f>
        <v>45000</v>
      </c>
      <c r="O24" s="7" t="s">
        <v>99</v>
      </c>
      <c r="P24" s="7" t="s">
        <v>691</v>
      </c>
      <c r="Q24" s="7" t="s">
        <v>115</v>
      </c>
      <c r="R24" s="7" t="s">
        <v>116</v>
      </c>
      <c r="S24" s="7" t="n">
        <v>1</v>
      </c>
      <c r="T24" s="7" t="s">
        <v>692</v>
      </c>
      <c r="U24" s="7" t="s">
        <v>693</v>
      </c>
      <c r="V24" s="9" t="n">
        <f aca="false">IF(LEFT(E24,2)="SF",IF(F24="",0,Weights!$B$2*MAX(0,MIN(1,(Weights!$B$9-F24)/(Weights!$B$9-Weights!$B$8)))),0)</f>
        <v>20</v>
      </c>
      <c r="W24" s="9" t="n">
        <f aca="false">IF(M24="",5,Weights!$B$3*MAX(0,MIN(1,(Weights!$B$7-M24)/(Weights!$B$7-Weights!$B$6))))</f>
        <v>30</v>
      </c>
      <c r="X24" s="9" t="n">
        <f aca="false">IF(O24="none",0,IF(O24="unknown",5,Weights!$B$4))</f>
        <v>15</v>
      </c>
      <c r="Y24" s="9" t="n">
        <f aca="false">IF(K24="",4,IF(AND(K24&gt;=Weights!$B$13,K24&lt;=Weights!$B$14),Weights!$B$5,IF(K24&gt;100,15,IF(K24&gt;=20,12,4))))</f>
        <v>4</v>
      </c>
      <c r="Z24" s="10" t="n">
        <f aca="false">IF(OR(Q24="taken",Q24="sold",Q24="ruled-out"),0,MIN(IF(AND(H24="tourist-hotel",O24="none"),Weights!$B$11,100),V24+W24+X24+Y24)+IF(R24="yes",Weights!$B$10,0))</f>
        <v>74</v>
      </c>
      <c r="AA24" s="7" t="s">
        <v>694</v>
      </c>
    </row>
    <row r="25" customFormat="false" ht="23.85" hidden="false" customHeight="false" outlineLevel="0" collapsed="false">
      <c r="A25" s="7" t="n">
        <f aca="false">RANK(Z25,$Z$2:$Z$78)</f>
        <v>30</v>
      </c>
      <c r="B25" s="7" t="s">
        <v>781</v>
      </c>
      <c r="C25" s="7" t="s">
        <v>779</v>
      </c>
      <c r="D25" s="7" t="s">
        <v>779</v>
      </c>
      <c r="E25" s="7" t="s">
        <v>97</v>
      </c>
      <c r="F25" s="7" t="n">
        <v>30</v>
      </c>
      <c r="G25" s="7" t="s">
        <v>688</v>
      </c>
      <c r="H25" s="7" t="s">
        <v>179</v>
      </c>
      <c r="I25" s="7" t="s">
        <v>710</v>
      </c>
      <c r="J25" s="7" t="s">
        <v>782</v>
      </c>
      <c r="K25" s="7" t="n">
        <v>34</v>
      </c>
      <c r="L25" s="7" t="s">
        <v>748</v>
      </c>
      <c r="M25" s="8" t="n">
        <v>1195</v>
      </c>
      <c r="N25" s="8" t="n">
        <f aca="false">M25*Weights!$B$12</f>
        <v>53775</v>
      </c>
      <c r="O25" s="7" t="s">
        <v>99</v>
      </c>
      <c r="P25" s="7" t="s">
        <v>691</v>
      </c>
      <c r="Q25" s="7" t="s">
        <v>115</v>
      </c>
      <c r="R25" s="7" t="s">
        <v>102</v>
      </c>
      <c r="S25" s="7" t="n">
        <v>1</v>
      </c>
      <c r="T25" s="7" t="s">
        <v>692</v>
      </c>
      <c r="U25" s="7" t="s">
        <v>693</v>
      </c>
      <c r="V25" s="9" t="n">
        <f aca="false">IF(LEFT(E25,2)="SF",IF(F25="",0,Weights!$B$2*MAX(0,MIN(1,(Weights!$B$9-F25)/(Weights!$B$9-Weights!$B$8)))),0)</f>
        <v>15</v>
      </c>
      <c r="W25" s="9" t="n">
        <f aca="false">IF(M25="",5,Weights!$B$3*MAX(0,MIN(1,(Weights!$B$7-M25)/(Weights!$B$7-Weights!$B$6))))</f>
        <v>25.125</v>
      </c>
      <c r="X25" s="9" t="n">
        <f aca="false">IF(O25="none",0,IF(O25="unknown",5,Weights!$B$4))</f>
        <v>15</v>
      </c>
      <c r="Y25" s="9" t="n">
        <f aca="false">IF(K25="",4,IF(AND(K25&gt;=Weights!$B$13,K25&lt;=Weights!$B$14),Weights!$B$5,IF(K25&gt;100,15,IF(K25&gt;=20,12,4))))</f>
        <v>12</v>
      </c>
      <c r="Z25" s="10" t="n">
        <f aca="false">IF(OR(Q25="taken",Q25="sold",Q25="ruled-out"),0,MIN(IF(AND(H25="tourist-hotel",O25="none"),Weights!$B$11,100),V25+W25+X25+Y25)+IF(R25="yes",Weights!$B$10,0))</f>
        <v>67.125</v>
      </c>
      <c r="AA25" s="7" t="s">
        <v>694</v>
      </c>
    </row>
    <row r="26" customFormat="false" ht="23.85" hidden="false" customHeight="false" outlineLevel="0" collapsed="false">
      <c r="A26" s="7" t="n">
        <f aca="false">RANK(Z26,$Z$2:$Z$78)</f>
        <v>21</v>
      </c>
      <c r="B26" s="7" t="s">
        <v>783</v>
      </c>
      <c r="C26" s="7" t="s">
        <v>779</v>
      </c>
      <c r="D26" s="7" t="s">
        <v>779</v>
      </c>
      <c r="E26" s="7" t="s">
        <v>97</v>
      </c>
      <c r="F26" s="7" t="n">
        <v>30</v>
      </c>
      <c r="G26" s="7" t="s">
        <v>688</v>
      </c>
      <c r="H26" s="7" t="s">
        <v>179</v>
      </c>
      <c r="I26" s="7" t="s">
        <v>710</v>
      </c>
      <c r="J26" s="7" t="s">
        <v>784</v>
      </c>
      <c r="K26" s="7" t="n">
        <v>45</v>
      </c>
      <c r="L26" s="7" t="s">
        <v>748</v>
      </c>
      <c r="M26" s="8" t="n">
        <v>1195</v>
      </c>
      <c r="N26" s="8" t="n">
        <f aca="false">M26*Weights!$B$12</f>
        <v>53775</v>
      </c>
      <c r="O26" s="7" t="s">
        <v>99</v>
      </c>
      <c r="P26" s="7" t="s">
        <v>691</v>
      </c>
      <c r="Q26" s="7" t="s">
        <v>115</v>
      </c>
      <c r="R26" s="7" t="s">
        <v>102</v>
      </c>
      <c r="S26" s="7" t="n">
        <v>1</v>
      </c>
      <c r="T26" s="7" t="s">
        <v>692</v>
      </c>
      <c r="U26" s="7" t="s">
        <v>693</v>
      </c>
      <c r="V26" s="9" t="n">
        <f aca="false">IF(LEFT(E26,2)="SF",IF(F26="",0,Weights!$B$2*MAX(0,MIN(1,(Weights!$B$9-F26)/(Weights!$B$9-Weights!$B$8)))),0)</f>
        <v>15</v>
      </c>
      <c r="W26" s="9" t="n">
        <f aca="false">IF(M26="",5,Weights!$B$3*MAX(0,MIN(1,(Weights!$B$7-M26)/(Weights!$B$7-Weights!$B$6))))</f>
        <v>25.125</v>
      </c>
      <c r="X26" s="9" t="n">
        <f aca="false">IF(O26="none",0,IF(O26="unknown",5,Weights!$B$4))</f>
        <v>15</v>
      </c>
      <c r="Y26" s="9" t="n">
        <f aca="false">IF(K26="",4,IF(AND(K26&gt;=Weights!$B$13,K26&lt;=Weights!$B$14),Weights!$B$5,IF(K26&gt;100,15,IF(K26&gt;=20,12,4))))</f>
        <v>20</v>
      </c>
      <c r="Z26" s="10" t="n">
        <f aca="false">IF(OR(Q26="taken",Q26="sold",Q26="ruled-out"),0,MIN(IF(AND(H26="tourist-hotel",O26="none"),Weights!$B$11,100),V26+W26+X26+Y26)+IF(R26="yes",Weights!$B$10,0))</f>
        <v>75.125</v>
      </c>
      <c r="AA26" s="7" t="s">
        <v>694</v>
      </c>
    </row>
    <row r="27" customFormat="false" ht="23.85" hidden="false" customHeight="false" outlineLevel="0" collapsed="false">
      <c r="A27" s="7" t="n">
        <f aca="false">RANK(Z27,$Z$2:$Z$78)</f>
        <v>31</v>
      </c>
      <c r="B27" s="7" t="s">
        <v>785</v>
      </c>
      <c r="C27" s="7" t="s">
        <v>779</v>
      </c>
      <c r="D27" s="7" t="s">
        <v>779</v>
      </c>
      <c r="E27" s="7" t="s">
        <v>97</v>
      </c>
      <c r="F27" s="7" t="n">
        <v>29</v>
      </c>
      <c r="G27" s="7" t="s">
        <v>688</v>
      </c>
      <c r="H27" s="7" t="s">
        <v>179</v>
      </c>
      <c r="I27" s="7" t="s">
        <v>710</v>
      </c>
      <c r="J27" s="7" t="s">
        <v>747</v>
      </c>
      <c r="K27" s="7" t="n">
        <v>22</v>
      </c>
      <c r="L27" s="7" t="s">
        <v>786</v>
      </c>
      <c r="M27" s="8" t="n">
        <v>1300</v>
      </c>
      <c r="N27" s="8" t="n">
        <f aca="false">M27*Weights!$B$12</f>
        <v>58500</v>
      </c>
      <c r="O27" s="7" t="s">
        <v>99</v>
      </c>
      <c r="P27" s="7" t="s">
        <v>691</v>
      </c>
      <c r="Q27" s="7" t="s">
        <v>115</v>
      </c>
      <c r="R27" s="7" t="s">
        <v>102</v>
      </c>
      <c r="S27" s="7" t="n">
        <v>1</v>
      </c>
      <c r="T27" s="7" t="s">
        <v>692</v>
      </c>
      <c r="U27" s="7" t="s">
        <v>693</v>
      </c>
      <c r="V27" s="9" t="n">
        <f aca="false">IF(LEFT(E27,2)="SF",IF(F27="",0,Weights!$B$2*MAX(0,MIN(1,(Weights!$B$9-F27)/(Weights!$B$9-Weights!$B$8)))),0)</f>
        <v>16</v>
      </c>
      <c r="W27" s="9" t="n">
        <f aca="false">IF(M27="",5,Weights!$B$3*MAX(0,MIN(1,(Weights!$B$7-M27)/(Weights!$B$7-Weights!$B$6))))</f>
        <v>22.5</v>
      </c>
      <c r="X27" s="9" t="n">
        <f aca="false">IF(O27="none",0,IF(O27="unknown",5,Weights!$B$4))</f>
        <v>15</v>
      </c>
      <c r="Y27" s="9" t="n">
        <f aca="false">IF(K27="",4,IF(AND(K27&gt;=Weights!$B$13,K27&lt;=Weights!$B$14),Weights!$B$5,IF(K27&gt;100,15,IF(K27&gt;=20,12,4))))</f>
        <v>12</v>
      </c>
      <c r="Z27" s="10" t="n">
        <f aca="false">IF(OR(Q27="taken",Q27="sold",Q27="ruled-out"),0,MIN(IF(AND(H27="tourist-hotel",O27="none"),Weights!$B$11,100),V27+W27+X27+Y27)+IF(R27="yes",Weights!$B$10,0))</f>
        <v>65.5</v>
      </c>
      <c r="AA27" s="7" t="s">
        <v>694</v>
      </c>
    </row>
    <row r="28" customFormat="false" ht="23.85" hidden="false" customHeight="false" outlineLevel="0" collapsed="false">
      <c r="A28" s="7" t="n">
        <f aca="false">RANK(Z28,$Z$2:$Z$78)</f>
        <v>6</v>
      </c>
      <c r="B28" s="7" t="s">
        <v>787</v>
      </c>
      <c r="C28" s="7" t="s">
        <v>788</v>
      </c>
      <c r="D28" s="7" t="s">
        <v>788</v>
      </c>
      <c r="E28" s="7" t="s">
        <v>127</v>
      </c>
      <c r="F28" s="7" t="n">
        <v>12</v>
      </c>
      <c r="G28" s="7" t="s">
        <v>688</v>
      </c>
      <c r="H28" s="7" t="s">
        <v>716</v>
      </c>
      <c r="I28" s="7" t="s">
        <v>728</v>
      </c>
      <c r="J28" s="7" t="s">
        <v>741</v>
      </c>
      <c r="K28" s="7"/>
      <c r="L28" s="7" t="s">
        <v>789</v>
      </c>
      <c r="M28" s="8" t="n">
        <v>570</v>
      </c>
      <c r="N28" s="8" t="n">
        <f aca="false">M28*Weights!$B$12</f>
        <v>25650</v>
      </c>
      <c r="O28" s="7" t="s">
        <v>99</v>
      </c>
      <c r="P28" s="7" t="s">
        <v>691</v>
      </c>
      <c r="Q28" s="7" t="s">
        <v>115</v>
      </c>
      <c r="R28" s="7" t="s">
        <v>116</v>
      </c>
      <c r="S28" s="7" t="n">
        <v>1</v>
      </c>
      <c r="T28" s="7" t="s">
        <v>692</v>
      </c>
      <c r="U28" s="7" t="s">
        <v>693</v>
      </c>
      <c r="V28" s="9" t="n">
        <f aca="false">IF(LEFT(E28,2)="SF",IF(F28="",0,Weights!$B$2*MAX(0,MIN(1,(Weights!$B$9-F28)/(Weights!$B$9-Weights!$B$8)))),0)</f>
        <v>33</v>
      </c>
      <c r="W28" s="9" t="n">
        <f aca="false">IF(M28="",5,Weights!$B$3*MAX(0,MIN(1,(Weights!$B$7-M28)/(Weights!$B$7-Weights!$B$6))))</f>
        <v>30</v>
      </c>
      <c r="X28" s="9" t="n">
        <f aca="false">IF(O28="none",0,IF(O28="unknown",5,Weights!$B$4))</f>
        <v>15</v>
      </c>
      <c r="Y28" s="9" t="n">
        <f aca="false">IF(K28="",4,IF(AND(K28&gt;=Weights!$B$13,K28&lt;=Weights!$B$14),Weights!$B$5,IF(K28&gt;100,15,IF(K28&gt;=20,12,4))))</f>
        <v>4</v>
      </c>
      <c r="Z28" s="10" t="n">
        <f aca="false">IF(OR(Q28="taken",Q28="sold",Q28="ruled-out"),0,MIN(IF(AND(H28="tourist-hotel",O28="none"),Weights!$B$11,100),V28+W28+X28+Y28)+IF(R28="yes",Weights!$B$10,0))</f>
        <v>87</v>
      </c>
      <c r="AA28" s="7" t="s">
        <v>694</v>
      </c>
    </row>
    <row r="29" customFormat="false" ht="23.85" hidden="false" customHeight="false" outlineLevel="0" collapsed="false">
      <c r="A29" s="7" t="n">
        <f aca="false">RANK(Z29,$Z$2:$Z$78)</f>
        <v>22</v>
      </c>
      <c r="B29" s="7" t="s">
        <v>790</v>
      </c>
      <c r="C29" s="7" t="s">
        <v>791</v>
      </c>
      <c r="D29" s="7" t="s">
        <v>791</v>
      </c>
      <c r="E29" s="7" t="s">
        <v>97</v>
      </c>
      <c r="F29" s="7" t="n">
        <v>25</v>
      </c>
      <c r="G29" s="7" t="s">
        <v>688</v>
      </c>
      <c r="H29" s="7" t="s">
        <v>716</v>
      </c>
      <c r="I29" s="7" t="s">
        <v>728</v>
      </c>
      <c r="J29" s="7" t="s">
        <v>741</v>
      </c>
      <c r="K29" s="7"/>
      <c r="L29" s="7" t="s">
        <v>792</v>
      </c>
      <c r="M29" s="8" t="n">
        <v>960</v>
      </c>
      <c r="N29" s="8" t="n">
        <f aca="false">M29*Weights!$B$12</f>
        <v>43200</v>
      </c>
      <c r="O29" s="7" t="s">
        <v>99</v>
      </c>
      <c r="P29" s="7" t="s">
        <v>691</v>
      </c>
      <c r="Q29" s="7" t="s">
        <v>115</v>
      </c>
      <c r="R29" s="7" t="s">
        <v>116</v>
      </c>
      <c r="S29" s="7" t="n">
        <v>1</v>
      </c>
      <c r="T29" s="7" t="s">
        <v>692</v>
      </c>
      <c r="U29" s="7" t="s">
        <v>693</v>
      </c>
      <c r="V29" s="9" t="n">
        <f aca="false">IF(LEFT(E29,2)="SF",IF(F29="",0,Weights!$B$2*MAX(0,MIN(1,(Weights!$B$9-F29)/(Weights!$B$9-Weights!$B$8)))),0)</f>
        <v>20</v>
      </c>
      <c r="W29" s="9" t="n">
        <f aca="false">IF(M29="",5,Weights!$B$3*MAX(0,MIN(1,(Weights!$B$7-M29)/(Weights!$B$7-Weights!$B$6))))</f>
        <v>30</v>
      </c>
      <c r="X29" s="9" t="n">
        <f aca="false">IF(O29="none",0,IF(O29="unknown",5,Weights!$B$4))</f>
        <v>15</v>
      </c>
      <c r="Y29" s="9" t="n">
        <f aca="false">IF(K29="",4,IF(AND(K29&gt;=Weights!$B$13,K29&lt;=Weights!$B$14),Weights!$B$5,IF(K29&gt;100,15,IF(K29&gt;=20,12,4))))</f>
        <v>4</v>
      </c>
      <c r="Z29" s="10" t="n">
        <f aca="false">IF(OR(Q29="taken",Q29="sold",Q29="ruled-out"),0,MIN(IF(AND(H29="tourist-hotel",O29="none"),Weights!$B$11,100),V29+W29+X29+Y29)+IF(R29="yes",Weights!$B$10,0))</f>
        <v>74</v>
      </c>
      <c r="AA29" s="7" t="s">
        <v>694</v>
      </c>
    </row>
    <row r="30" customFormat="false" ht="23.85" hidden="false" customHeight="false" outlineLevel="0" collapsed="false">
      <c r="A30" s="7" t="n">
        <f aca="false">RANK(Z30,$Z$2:$Z$78)</f>
        <v>17</v>
      </c>
      <c r="B30" s="7" t="s">
        <v>793</v>
      </c>
      <c r="C30" s="7" t="s">
        <v>794</v>
      </c>
      <c r="D30" s="7" t="s">
        <v>794</v>
      </c>
      <c r="E30" s="7" t="s">
        <v>127</v>
      </c>
      <c r="F30" s="7" t="n">
        <v>11</v>
      </c>
      <c r="G30" s="7" t="s">
        <v>688</v>
      </c>
      <c r="H30" s="7" t="s">
        <v>716</v>
      </c>
      <c r="I30" s="7" t="s">
        <v>728</v>
      </c>
      <c r="J30" s="7" t="s">
        <v>741</v>
      </c>
      <c r="K30" s="7"/>
      <c r="L30" s="7" t="s">
        <v>795</v>
      </c>
      <c r="M30" s="8" t="n">
        <v>990</v>
      </c>
      <c r="N30" s="8" t="n">
        <f aca="false">M30*Weights!$B$12</f>
        <v>44550</v>
      </c>
      <c r="O30" s="7" t="s">
        <v>102</v>
      </c>
      <c r="P30" s="7" t="s">
        <v>796</v>
      </c>
      <c r="Q30" s="7" t="s">
        <v>115</v>
      </c>
      <c r="R30" s="7" t="s">
        <v>116</v>
      </c>
      <c r="S30" s="7" t="n">
        <v>1</v>
      </c>
      <c r="T30" s="7" t="s">
        <v>692</v>
      </c>
      <c r="U30" s="7" t="s">
        <v>693</v>
      </c>
      <c r="V30" s="9" t="n">
        <f aca="false">IF(LEFT(E30,2)="SF",IF(F30="",0,Weights!$B$2*MAX(0,MIN(1,(Weights!$B$9-F30)/(Weights!$B$9-Weights!$B$8)))),0)</f>
        <v>34</v>
      </c>
      <c r="W30" s="9" t="n">
        <f aca="false">IF(M30="",5,Weights!$B$3*MAX(0,MIN(1,(Weights!$B$7-M30)/(Weights!$B$7-Weights!$B$6))))</f>
        <v>30</v>
      </c>
      <c r="X30" s="9" t="n">
        <f aca="false">IF(O30="none",0,IF(O30="unknown",5,Weights!$B$4))</f>
        <v>5</v>
      </c>
      <c r="Y30" s="9" t="n">
        <f aca="false">IF(K30="",4,IF(AND(K30&gt;=Weights!$B$13,K30&lt;=Weights!$B$14),Weights!$B$5,IF(K30&gt;100,15,IF(K30&gt;=20,12,4))))</f>
        <v>4</v>
      </c>
      <c r="Z30" s="10" t="n">
        <f aca="false">IF(OR(Q30="taken",Q30="sold",Q30="ruled-out"),0,MIN(IF(AND(H30="tourist-hotel",O30="none"),Weights!$B$11,100),V30+W30+X30+Y30)+IF(R30="yes",Weights!$B$10,0))</f>
        <v>78</v>
      </c>
      <c r="AA30" s="7" t="s">
        <v>694</v>
      </c>
    </row>
    <row r="31" customFormat="false" ht="23.85" hidden="false" customHeight="false" outlineLevel="0" collapsed="false">
      <c r="A31" s="7" t="n">
        <f aca="false">RANK(Z31,$Z$2:$Z$78)</f>
        <v>13</v>
      </c>
      <c r="B31" s="7" t="s">
        <v>797</v>
      </c>
      <c r="C31" s="7" t="s">
        <v>798</v>
      </c>
      <c r="D31" s="7" t="s">
        <v>798</v>
      </c>
      <c r="E31" s="7" t="s">
        <v>127</v>
      </c>
      <c r="F31" s="7" t="n">
        <v>13</v>
      </c>
      <c r="G31" s="7" t="s">
        <v>688</v>
      </c>
      <c r="H31" s="7" t="s">
        <v>716</v>
      </c>
      <c r="I31" s="7" t="s">
        <v>728</v>
      </c>
      <c r="J31" s="7" t="s">
        <v>799</v>
      </c>
      <c r="K31" s="7"/>
      <c r="L31" s="7" t="s">
        <v>800</v>
      </c>
      <c r="M31" s="8" t="n">
        <v>1170</v>
      </c>
      <c r="N31" s="8" t="n">
        <f aca="false">M31*Weights!$B$12</f>
        <v>52650</v>
      </c>
      <c r="O31" s="7" t="s">
        <v>99</v>
      </c>
      <c r="P31" s="7" t="s">
        <v>691</v>
      </c>
      <c r="Q31" s="7" t="s">
        <v>115</v>
      </c>
      <c r="R31" s="7" t="s">
        <v>116</v>
      </c>
      <c r="S31" s="7" t="n">
        <v>1</v>
      </c>
      <c r="T31" s="7" t="s">
        <v>692</v>
      </c>
      <c r="U31" s="7" t="s">
        <v>693</v>
      </c>
      <c r="V31" s="9" t="n">
        <f aca="false">IF(LEFT(E31,2)="SF",IF(F31="",0,Weights!$B$2*MAX(0,MIN(1,(Weights!$B$9-F31)/(Weights!$B$9-Weights!$B$8)))),0)</f>
        <v>32</v>
      </c>
      <c r="W31" s="9" t="n">
        <f aca="false">IF(M31="",5,Weights!$B$3*MAX(0,MIN(1,(Weights!$B$7-M31)/(Weights!$B$7-Weights!$B$6))))</f>
        <v>25.75</v>
      </c>
      <c r="X31" s="9" t="n">
        <f aca="false">IF(O31="none",0,IF(O31="unknown",5,Weights!$B$4))</f>
        <v>15</v>
      </c>
      <c r="Y31" s="9" t="n">
        <f aca="false">IF(K31="",4,IF(AND(K31&gt;=Weights!$B$13,K31&lt;=Weights!$B$14),Weights!$B$5,IF(K31&gt;100,15,IF(K31&gt;=20,12,4))))</f>
        <v>4</v>
      </c>
      <c r="Z31" s="10" t="n">
        <f aca="false">IF(OR(Q31="taken",Q31="sold",Q31="ruled-out"),0,MIN(IF(AND(H31="tourist-hotel",O31="none"),Weights!$B$11,100),V31+W31+X31+Y31)+IF(R31="yes",Weights!$B$10,0))</f>
        <v>81.75</v>
      </c>
      <c r="AA31" s="7" t="s">
        <v>694</v>
      </c>
    </row>
    <row r="32" customFormat="false" ht="23.85" hidden="false" customHeight="false" outlineLevel="0" collapsed="false">
      <c r="A32" s="7" t="n">
        <f aca="false">RANK(Z32,$Z$2:$Z$78)</f>
        <v>70</v>
      </c>
      <c r="B32" s="7" t="s">
        <v>801</v>
      </c>
      <c r="C32" s="7" t="s">
        <v>802</v>
      </c>
      <c r="D32" s="7" t="s">
        <v>802</v>
      </c>
      <c r="E32" s="7" t="s">
        <v>97</v>
      </c>
      <c r="F32" s="7"/>
      <c r="G32" s="7" t="s">
        <v>688</v>
      </c>
      <c r="H32" s="7" t="s">
        <v>179</v>
      </c>
      <c r="I32" s="7" t="s">
        <v>710</v>
      </c>
      <c r="J32" s="7" t="s">
        <v>803</v>
      </c>
      <c r="K32" s="7"/>
      <c r="L32" s="7" t="s">
        <v>804</v>
      </c>
      <c r="M32" s="8" t="n">
        <v>1700</v>
      </c>
      <c r="N32" s="8" t="n">
        <f aca="false">M32*Weights!$B$12</f>
        <v>76500</v>
      </c>
      <c r="O32" s="7" t="s">
        <v>99</v>
      </c>
      <c r="P32" s="7" t="s">
        <v>691</v>
      </c>
      <c r="Q32" s="7" t="s">
        <v>115</v>
      </c>
      <c r="R32" s="7" t="s">
        <v>102</v>
      </c>
      <c r="S32" s="7" t="n">
        <v>1</v>
      </c>
      <c r="T32" s="7" t="s">
        <v>692</v>
      </c>
      <c r="U32" s="7" t="s">
        <v>693</v>
      </c>
      <c r="V32" s="9" t="n">
        <f aca="false">IF(LEFT(E32,2)="SF",IF(F32="",0,Weights!$B$2*MAX(0,MIN(1,(Weights!$B$9-F32)/(Weights!$B$9-Weights!$B$8)))),0)</f>
        <v>0</v>
      </c>
      <c r="W32" s="9" t="n">
        <f aca="false">IF(M32="",5,Weights!$B$3*MAX(0,MIN(1,(Weights!$B$7-M32)/(Weights!$B$7-Weights!$B$6))))</f>
        <v>12.5</v>
      </c>
      <c r="X32" s="9" t="n">
        <f aca="false">IF(O32="none",0,IF(O32="unknown",5,Weights!$B$4))</f>
        <v>15</v>
      </c>
      <c r="Y32" s="9" t="n">
        <f aca="false">IF(K32="",4,IF(AND(K32&gt;=Weights!$B$13,K32&lt;=Weights!$B$14),Weights!$B$5,IF(K32&gt;100,15,IF(K32&gt;=20,12,4))))</f>
        <v>4</v>
      </c>
      <c r="Z32" s="10" t="n">
        <f aca="false">IF(OR(Q32="taken",Q32="sold",Q32="ruled-out"),0,MIN(IF(AND(H32="tourist-hotel",O32="none"),Weights!$B$11,100),V32+W32+X32+Y32)+IF(R32="yes",Weights!$B$10,0))</f>
        <v>31.5</v>
      </c>
      <c r="AA32" s="7" t="s">
        <v>694</v>
      </c>
    </row>
    <row r="33" customFormat="false" ht="23.85" hidden="false" customHeight="false" outlineLevel="0" collapsed="false">
      <c r="A33" s="7" t="n">
        <f aca="false">RANK(Z33,$Z$2:$Z$78)</f>
        <v>42</v>
      </c>
      <c r="B33" s="7" t="s">
        <v>805</v>
      </c>
      <c r="C33" s="7" t="s">
        <v>806</v>
      </c>
      <c r="D33" s="7" t="s">
        <v>806</v>
      </c>
      <c r="E33" s="7" t="s">
        <v>97</v>
      </c>
      <c r="F33" s="7" t="n">
        <v>40</v>
      </c>
      <c r="G33" s="7" t="s">
        <v>688</v>
      </c>
      <c r="H33" s="7" t="s">
        <v>716</v>
      </c>
      <c r="I33" s="7" t="s">
        <v>728</v>
      </c>
      <c r="J33" s="7" t="s">
        <v>741</v>
      </c>
      <c r="K33" s="7"/>
      <c r="L33" s="7" t="s">
        <v>780</v>
      </c>
      <c r="M33" s="8" t="n">
        <v>1000</v>
      </c>
      <c r="N33" s="8" t="n">
        <f aca="false">M33*Weights!$B$12</f>
        <v>45000</v>
      </c>
      <c r="O33" s="7" t="s">
        <v>99</v>
      </c>
      <c r="P33" s="7" t="s">
        <v>691</v>
      </c>
      <c r="Q33" s="7" t="s">
        <v>115</v>
      </c>
      <c r="R33" s="7" t="s">
        <v>116</v>
      </c>
      <c r="S33" s="7" t="n">
        <v>1</v>
      </c>
      <c r="T33" s="7" t="s">
        <v>692</v>
      </c>
      <c r="U33" s="7" t="s">
        <v>693</v>
      </c>
      <c r="V33" s="9" t="n">
        <f aca="false">IF(LEFT(E33,2)="SF",IF(F33="",0,Weights!$B$2*MAX(0,MIN(1,(Weights!$B$9-F33)/(Weights!$B$9-Weights!$B$8)))),0)</f>
        <v>5</v>
      </c>
      <c r="W33" s="9" t="n">
        <f aca="false">IF(M33="",5,Weights!$B$3*MAX(0,MIN(1,(Weights!$B$7-M33)/(Weights!$B$7-Weights!$B$6))))</f>
        <v>30</v>
      </c>
      <c r="X33" s="9" t="n">
        <f aca="false">IF(O33="none",0,IF(O33="unknown",5,Weights!$B$4))</f>
        <v>15</v>
      </c>
      <c r="Y33" s="9" t="n">
        <f aca="false">IF(K33="",4,IF(AND(K33&gt;=Weights!$B$13,K33&lt;=Weights!$B$14),Weights!$B$5,IF(K33&gt;100,15,IF(K33&gt;=20,12,4))))</f>
        <v>4</v>
      </c>
      <c r="Z33" s="10" t="n">
        <f aca="false">IF(OR(Q33="taken",Q33="sold",Q33="ruled-out"),0,MIN(IF(AND(H33="tourist-hotel",O33="none"),Weights!$B$11,100),V33+W33+X33+Y33)+IF(R33="yes",Weights!$B$10,0))</f>
        <v>59</v>
      </c>
      <c r="AA33" s="7" t="s">
        <v>694</v>
      </c>
    </row>
    <row r="34" customFormat="false" ht="23.85" hidden="false" customHeight="false" outlineLevel="0" collapsed="false">
      <c r="A34" s="7" t="n">
        <f aca="false">RANK(Z34,$Z$2:$Z$78)</f>
        <v>37</v>
      </c>
      <c r="B34" s="7" t="s">
        <v>807</v>
      </c>
      <c r="C34" s="7" t="s">
        <v>808</v>
      </c>
      <c r="D34" s="7" t="s">
        <v>808</v>
      </c>
      <c r="E34" s="7" t="s">
        <v>97</v>
      </c>
      <c r="F34" s="7" t="n">
        <v>26</v>
      </c>
      <c r="G34" s="7" t="s">
        <v>688</v>
      </c>
      <c r="H34" s="7" t="s">
        <v>179</v>
      </c>
      <c r="I34" s="7" t="s">
        <v>710</v>
      </c>
      <c r="J34" s="7" t="s">
        <v>809</v>
      </c>
      <c r="K34" s="7" t="n">
        <v>8</v>
      </c>
      <c r="L34" s="7" t="s">
        <v>810</v>
      </c>
      <c r="M34" s="8" t="n">
        <v>1195</v>
      </c>
      <c r="N34" s="8" t="n">
        <f aca="false">M34*Weights!$B$12</f>
        <v>53775</v>
      </c>
      <c r="O34" s="7" t="s">
        <v>99</v>
      </c>
      <c r="P34" s="7" t="s">
        <v>691</v>
      </c>
      <c r="Q34" s="7" t="s">
        <v>115</v>
      </c>
      <c r="R34" s="7" t="s">
        <v>102</v>
      </c>
      <c r="S34" s="7" t="n">
        <v>1</v>
      </c>
      <c r="T34" s="7" t="s">
        <v>692</v>
      </c>
      <c r="U34" s="7" t="s">
        <v>693</v>
      </c>
      <c r="V34" s="9" t="n">
        <f aca="false">IF(LEFT(E34,2)="SF",IF(F34="",0,Weights!$B$2*MAX(0,MIN(1,(Weights!$B$9-F34)/(Weights!$B$9-Weights!$B$8)))),0)</f>
        <v>19</v>
      </c>
      <c r="W34" s="9" t="n">
        <f aca="false">IF(M34="",5,Weights!$B$3*MAX(0,MIN(1,(Weights!$B$7-M34)/(Weights!$B$7-Weights!$B$6))))</f>
        <v>25.125</v>
      </c>
      <c r="X34" s="9" t="n">
        <f aca="false">IF(O34="none",0,IF(O34="unknown",5,Weights!$B$4))</f>
        <v>15</v>
      </c>
      <c r="Y34" s="9" t="n">
        <f aca="false">IF(K34="",4,IF(AND(K34&gt;=Weights!$B$13,K34&lt;=Weights!$B$14),Weights!$B$5,IF(K34&gt;100,15,IF(K34&gt;=20,12,4))))</f>
        <v>4</v>
      </c>
      <c r="Z34" s="10" t="n">
        <f aca="false">IF(OR(Q34="taken",Q34="sold",Q34="ruled-out"),0,MIN(IF(AND(H34="tourist-hotel",O34="none"),Weights!$B$11,100),V34+W34+X34+Y34)+IF(R34="yes",Weights!$B$10,0))</f>
        <v>63.125</v>
      </c>
      <c r="AA34" s="7" t="s">
        <v>694</v>
      </c>
    </row>
    <row r="35" customFormat="false" ht="23.85" hidden="false" customHeight="false" outlineLevel="0" collapsed="false">
      <c r="A35" s="7" t="n">
        <f aca="false">RANK(Z35,$Z$2:$Z$78)</f>
        <v>59</v>
      </c>
      <c r="B35" s="7" t="s">
        <v>811</v>
      </c>
      <c r="C35" s="7" t="s">
        <v>812</v>
      </c>
      <c r="D35" s="7" t="s">
        <v>812</v>
      </c>
      <c r="E35" s="7" t="s">
        <v>97</v>
      </c>
      <c r="F35" s="7" t="n">
        <v>40</v>
      </c>
      <c r="G35" s="7" t="s">
        <v>688</v>
      </c>
      <c r="H35" s="7" t="s">
        <v>179</v>
      </c>
      <c r="I35" s="7" t="s">
        <v>710</v>
      </c>
      <c r="J35" s="7" t="s">
        <v>756</v>
      </c>
      <c r="K35" s="7" t="n">
        <v>10</v>
      </c>
      <c r="L35" s="7" t="s">
        <v>767</v>
      </c>
      <c r="M35" s="8" t="n">
        <v>1395</v>
      </c>
      <c r="N35" s="8" t="n">
        <f aca="false">M35*Weights!$B$12</f>
        <v>62775</v>
      </c>
      <c r="O35" s="7" t="s">
        <v>99</v>
      </c>
      <c r="P35" s="7" t="s">
        <v>691</v>
      </c>
      <c r="Q35" s="7" t="s">
        <v>115</v>
      </c>
      <c r="R35" s="7" t="s">
        <v>102</v>
      </c>
      <c r="S35" s="7" t="n">
        <v>1</v>
      </c>
      <c r="T35" s="7" t="s">
        <v>692</v>
      </c>
      <c r="U35" s="7" t="s">
        <v>693</v>
      </c>
      <c r="V35" s="9" t="n">
        <f aca="false">IF(LEFT(E35,2)="SF",IF(F35="",0,Weights!$B$2*MAX(0,MIN(1,(Weights!$B$9-F35)/(Weights!$B$9-Weights!$B$8)))),0)</f>
        <v>5</v>
      </c>
      <c r="W35" s="9" t="n">
        <f aca="false">IF(M35="",5,Weights!$B$3*MAX(0,MIN(1,(Weights!$B$7-M35)/(Weights!$B$7-Weights!$B$6))))</f>
        <v>20.125</v>
      </c>
      <c r="X35" s="9" t="n">
        <f aca="false">IF(O35="none",0,IF(O35="unknown",5,Weights!$B$4))</f>
        <v>15</v>
      </c>
      <c r="Y35" s="9" t="n">
        <f aca="false">IF(K35="",4,IF(AND(K35&gt;=Weights!$B$13,K35&lt;=Weights!$B$14),Weights!$B$5,IF(K35&gt;100,15,IF(K35&gt;=20,12,4))))</f>
        <v>4</v>
      </c>
      <c r="Z35" s="10" t="n">
        <f aca="false">IF(OR(Q35="taken",Q35="sold",Q35="ruled-out"),0,MIN(IF(AND(H35="tourist-hotel",O35="none"),Weights!$B$11,100),V35+W35+X35+Y35)+IF(R35="yes",Weights!$B$10,0))</f>
        <v>44.125</v>
      </c>
      <c r="AA35" s="7" t="s">
        <v>694</v>
      </c>
    </row>
    <row r="36" customFormat="false" ht="23.85" hidden="false" customHeight="false" outlineLevel="0" collapsed="false">
      <c r="A36" s="7" t="n">
        <f aca="false">RANK(Z36,$Z$2:$Z$78)</f>
        <v>38</v>
      </c>
      <c r="B36" s="7" t="s">
        <v>813</v>
      </c>
      <c r="C36" s="7" t="s">
        <v>779</v>
      </c>
      <c r="D36" s="7" t="s">
        <v>779</v>
      </c>
      <c r="E36" s="7" t="s">
        <v>97</v>
      </c>
      <c r="F36" s="7" t="n">
        <v>29</v>
      </c>
      <c r="G36" s="7" t="s">
        <v>688</v>
      </c>
      <c r="H36" s="7" t="s">
        <v>78</v>
      </c>
      <c r="I36" s="7" t="s">
        <v>814</v>
      </c>
      <c r="J36" s="7" t="s">
        <v>815</v>
      </c>
      <c r="K36" s="7" t="n">
        <v>20</v>
      </c>
      <c r="L36" s="7" t="s">
        <v>816</v>
      </c>
      <c r="M36" s="8" t="n">
        <v>1600</v>
      </c>
      <c r="N36" s="8" t="n">
        <f aca="false">M36*Weights!$B$12</f>
        <v>72000</v>
      </c>
      <c r="O36" s="7" t="s">
        <v>99</v>
      </c>
      <c r="P36" s="7" t="s">
        <v>691</v>
      </c>
      <c r="Q36" s="7" t="s">
        <v>115</v>
      </c>
      <c r="R36" s="7" t="s">
        <v>116</v>
      </c>
      <c r="S36" s="7" t="n">
        <v>1</v>
      </c>
      <c r="T36" s="7" t="s">
        <v>692</v>
      </c>
      <c r="U36" s="7" t="s">
        <v>693</v>
      </c>
      <c r="V36" s="9" t="n">
        <f aca="false">IF(LEFT(E36,2)="SF",IF(F36="",0,Weights!$B$2*MAX(0,MIN(1,(Weights!$B$9-F36)/(Weights!$B$9-Weights!$B$8)))),0)</f>
        <v>16</v>
      </c>
      <c r="W36" s="9" t="n">
        <f aca="false">IF(M36="",5,Weights!$B$3*MAX(0,MIN(1,(Weights!$B$7-M36)/(Weights!$B$7-Weights!$B$6))))</f>
        <v>15</v>
      </c>
      <c r="X36" s="9" t="n">
        <f aca="false">IF(O36="none",0,IF(O36="unknown",5,Weights!$B$4))</f>
        <v>15</v>
      </c>
      <c r="Y36" s="9" t="n">
        <f aca="false">IF(K36="",4,IF(AND(K36&gt;=Weights!$B$13,K36&lt;=Weights!$B$14),Weights!$B$5,IF(K36&gt;100,15,IF(K36&gt;=20,12,4))))</f>
        <v>12</v>
      </c>
      <c r="Z36" s="10" t="n">
        <f aca="false">IF(OR(Q36="taken",Q36="sold",Q36="ruled-out"),0,MIN(IF(AND(H36="tourist-hotel",O36="none"),Weights!$B$11,100),V36+W36+X36+Y36)+IF(R36="yes",Weights!$B$10,0))</f>
        <v>63</v>
      </c>
      <c r="AA36" s="7" t="s">
        <v>694</v>
      </c>
    </row>
    <row r="37" customFormat="false" ht="23.85" hidden="false" customHeight="false" outlineLevel="0" collapsed="false">
      <c r="A37" s="7" t="n">
        <f aca="false">RANK(Z37,$Z$2:$Z$78)</f>
        <v>63</v>
      </c>
      <c r="B37" s="7" t="s">
        <v>817</v>
      </c>
      <c r="C37" s="7" t="s">
        <v>818</v>
      </c>
      <c r="D37" s="7" t="s">
        <v>818</v>
      </c>
      <c r="E37" s="7" t="s">
        <v>127</v>
      </c>
      <c r="F37" s="7" t="n">
        <v>12</v>
      </c>
      <c r="G37" s="7" t="s">
        <v>688</v>
      </c>
      <c r="H37" s="7" t="s">
        <v>78</v>
      </c>
      <c r="I37" s="7" t="s">
        <v>819</v>
      </c>
      <c r="J37" s="7" t="s">
        <v>820</v>
      </c>
      <c r="K37" s="7"/>
      <c r="L37" s="7" t="s">
        <v>821</v>
      </c>
      <c r="M37" s="8" t="n">
        <v>3000</v>
      </c>
      <c r="N37" s="8" t="n">
        <f aca="false">M37*Weights!$B$12</f>
        <v>135000</v>
      </c>
      <c r="O37" s="7" t="s">
        <v>79</v>
      </c>
      <c r="P37" s="7" t="s">
        <v>822</v>
      </c>
      <c r="Q37" s="7" t="s">
        <v>115</v>
      </c>
      <c r="R37" s="7" t="s">
        <v>116</v>
      </c>
      <c r="S37" s="7" t="n">
        <v>1</v>
      </c>
      <c r="T37" s="7" t="s">
        <v>692</v>
      </c>
      <c r="U37" s="7" t="s">
        <v>693</v>
      </c>
      <c r="V37" s="9" t="n">
        <f aca="false">IF(LEFT(E37,2)="SF",IF(F37="",0,Weights!$B$2*MAX(0,MIN(1,(Weights!$B$9-F37)/(Weights!$B$9-Weights!$B$8)))),0)</f>
        <v>33</v>
      </c>
      <c r="W37" s="9" t="n">
        <f aca="false">IF(M37="",5,Weights!$B$3*MAX(0,MIN(1,(Weights!$B$7-M37)/(Weights!$B$7-Weights!$B$6))))</f>
        <v>0</v>
      </c>
      <c r="X37" s="9" t="n">
        <f aca="false">IF(O37="none",0,IF(O37="unknown",5,Weights!$B$4))</f>
        <v>0</v>
      </c>
      <c r="Y37" s="9" t="n">
        <f aca="false">IF(K37="",4,IF(AND(K37&gt;=Weights!$B$13,K37&lt;=Weights!$B$14),Weights!$B$5,IF(K37&gt;100,15,IF(K37&gt;=20,12,4))))</f>
        <v>4</v>
      </c>
      <c r="Z37" s="10" t="n">
        <f aca="false">IF(OR(Q37="taken",Q37="sold",Q37="ruled-out"),0,MIN(IF(AND(H37="tourist-hotel",O37="none"),Weights!$B$11,100),V37+W37+X37+Y37)+IF(R37="yes",Weights!$B$10,0))</f>
        <v>42</v>
      </c>
      <c r="AA37" s="7" t="s">
        <v>694</v>
      </c>
    </row>
    <row r="38" customFormat="false" ht="23.85" hidden="false" customHeight="false" outlineLevel="0" collapsed="false">
      <c r="A38" s="7" t="n">
        <f aca="false">RANK(Z38,$Z$2:$Z$78)</f>
        <v>65</v>
      </c>
      <c r="B38" s="7" t="s">
        <v>823</v>
      </c>
      <c r="C38" s="7" t="s">
        <v>824</v>
      </c>
      <c r="D38" s="7" t="s">
        <v>824</v>
      </c>
      <c r="E38" s="7" t="s">
        <v>127</v>
      </c>
      <c r="F38" s="7" t="n">
        <v>15</v>
      </c>
      <c r="G38" s="7" t="s">
        <v>688</v>
      </c>
      <c r="H38" s="7" t="s">
        <v>78</v>
      </c>
      <c r="I38" s="7" t="s">
        <v>819</v>
      </c>
      <c r="J38" s="7" t="s">
        <v>825</v>
      </c>
      <c r="K38" s="7" t="n">
        <v>50</v>
      </c>
      <c r="L38" s="7" t="s">
        <v>826</v>
      </c>
      <c r="M38" s="8" t="n">
        <v>3300</v>
      </c>
      <c r="N38" s="8" t="n">
        <f aca="false">M38*Weights!$B$12</f>
        <v>148500</v>
      </c>
      <c r="O38" s="7" t="s">
        <v>79</v>
      </c>
      <c r="P38" s="7" t="s">
        <v>827</v>
      </c>
      <c r="Q38" s="7" t="s">
        <v>115</v>
      </c>
      <c r="R38" s="7" t="s">
        <v>83</v>
      </c>
      <c r="S38" s="7" t="n">
        <v>1</v>
      </c>
      <c r="T38" s="7" t="s">
        <v>692</v>
      </c>
      <c r="U38" s="7" t="s">
        <v>693</v>
      </c>
      <c r="V38" s="9" t="n">
        <f aca="false">IF(LEFT(E38,2)="SF",IF(F38="",0,Weights!$B$2*MAX(0,MIN(1,(Weights!$B$9-F38)/(Weights!$B$9-Weights!$B$8)))),0)</f>
        <v>30</v>
      </c>
      <c r="W38" s="9" t="n">
        <f aca="false">IF(M38="",5,Weights!$B$3*MAX(0,MIN(1,(Weights!$B$7-M38)/(Weights!$B$7-Weights!$B$6))))</f>
        <v>0</v>
      </c>
      <c r="X38" s="9" t="n">
        <f aca="false">IF(O38="none",0,IF(O38="unknown",5,Weights!$B$4))</f>
        <v>0</v>
      </c>
      <c r="Y38" s="9" t="n">
        <f aca="false">IF(K38="",4,IF(AND(K38&gt;=Weights!$B$13,K38&lt;=Weights!$B$14),Weights!$B$5,IF(K38&gt;100,15,IF(K38&gt;=20,12,4))))</f>
        <v>20</v>
      </c>
      <c r="Z38" s="10" t="n">
        <f aca="false">IF(OR(Q38="taken",Q38="sold",Q38="ruled-out"),0,MIN(IF(AND(H38="tourist-hotel",O38="none"),Weights!$B$11,100),V38+W38+X38+Y38)+IF(R38="yes",Weights!$B$10,0))</f>
        <v>40</v>
      </c>
      <c r="AA38" s="7" t="s">
        <v>694</v>
      </c>
    </row>
    <row r="39" customFormat="false" ht="23.85" hidden="false" customHeight="false" outlineLevel="0" collapsed="false">
      <c r="A39" s="7" t="n">
        <f aca="false">RANK(Z39,$Z$2:$Z$78)</f>
        <v>41</v>
      </c>
      <c r="B39" s="7" t="s">
        <v>828</v>
      </c>
      <c r="C39" s="7" t="s">
        <v>829</v>
      </c>
      <c r="D39" s="7" t="s">
        <v>96</v>
      </c>
      <c r="E39" s="7" t="s">
        <v>97</v>
      </c>
      <c r="F39" s="7" t="n">
        <v>34</v>
      </c>
      <c r="G39" s="7" t="s">
        <v>688</v>
      </c>
      <c r="H39" s="7" t="s">
        <v>98</v>
      </c>
      <c r="I39" s="7" t="s">
        <v>830</v>
      </c>
      <c r="J39" s="7" t="s">
        <v>831</v>
      </c>
      <c r="K39" s="7"/>
      <c r="L39" s="7" t="s">
        <v>832</v>
      </c>
      <c r="M39" s="8" t="n">
        <v>900</v>
      </c>
      <c r="N39" s="8" t="n">
        <f aca="false">M39*Weights!$B$12</f>
        <v>40500</v>
      </c>
      <c r="O39" s="7" t="s">
        <v>99</v>
      </c>
      <c r="P39" s="7" t="s">
        <v>833</v>
      </c>
      <c r="Q39" s="7" t="s">
        <v>115</v>
      </c>
      <c r="R39" s="7" t="s">
        <v>102</v>
      </c>
      <c r="S39" s="7" t="n">
        <v>2</v>
      </c>
      <c r="T39" s="7" t="s">
        <v>92</v>
      </c>
      <c r="U39" s="7"/>
      <c r="V39" s="9" t="n">
        <f aca="false">IF(LEFT(E39,2)="SF",IF(F39="",0,Weights!$B$2*MAX(0,MIN(1,(Weights!$B$9-F39)/(Weights!$B$9-Weights!$B$8)))),0)</f>
        <v>11</v>
      </c>
      <c r="W39" s="9" t="n">
        <f aca="false">IF(M39="",5,Weights!$B$3*MAX(0,MIN(1,(Weights!$B$7-M39)/(Weights!$B$7-Weights!$B$6))))</f>
        <v>30</v>
      </c>
      <c r="X39" s="9" t="n">
        <f aca="false">IF(O39="none",0,IF(O39="unknown",5,Weights!$B$4))</f>
        <v>15</v>
      </c>
      <c r="Y39" s="9" t="n">
        <f aca="false">IF(K39="",4,IF(AND(K39&gt;=Weights!$B$13,K39&lt;=Weights!$B$14),Weights!$B$5,IF(K39&gt;100,15,IF(K39&gt;=20,12,4))))</f>
        <v>4</v>
      </c>
      <c r="Z39" s="10" t="n">
        <f aca="false">IF(OR(Q39="taken",Q39="sold",Q39="ruled-out"),0,MIN(IF(AND(H39="tourist-hotel",O39="none"),Weights!$B$11,100),V39+W39+X39+Y39)+IF(R39="yes",Weights!$B$10,0))</f>
        <v>60</v>
      </c>
      <c r="AA39" s="7" t="s">
        <v>694</v>
      </c>
    </row>
    <row r="40" customFormat="false" ht="23.85" hidden="false" customHeight="false" outlineLevel="0" collapsed="false">
      <c r="A40" s="7" t="n">
        <f aca="false">RANK(Z40,$Z$2:$Z$78)</f>
        <v>20</v>
      </c>
      <c r="B40" s="7" t="s">
        <v>834</v>
      </c>
      <c r="C40" s="7" t="s">
        <v>835</v>
      </c>
      <c r="D40" s="7" t="s">
        <v>836</v>
      </c>
      <c r="E40" s="7" t="s">
        <v>127</v>
      </c>
      <c r="F40" s="7" t="n">
        <v>18</v>
      </c>
      <c r="G40" s="7" t="s">
        <v>688</v>
      </c>
      <c r="H40" s="7" t="s">
        <v>98</v>
      </c>
      <c r="I40" s="7" t="s">
        <v>837</v>
      </c>
      <c r="J40" s="7" t="s">
        <v>838</v>
      </c>
      <c r="K40" s="7"/>
      <c r="L40" s="7" t="s">
        <v>839</v>
      </c>
      <c r="M40" s="8" t="n">
        <v>1000</v>
      </c>
      <c r="N40" s="8" t="n">
        <f aca="false">M40*Weights!$B$12</f>
        <v>45000</v>
      </c>
      <c r="O40" s="7" t="s">
        <v>99</v>
      </c>
      <c r="P40" s="7" t="s">
        <v>833</v>
      </c>
      <c r="Q40" s="7" t="s">
        <v>115</v>
      </c>
      <c r="R40" s="7" t="s">
        <v>102</v>
      </c>
      <c r="S40" s="7" t="n">
        <v>2</v>
      </c>
      <c r="T40" s="7" t="s">
        <v>92</v>
      </c>
      <c r="U40" s="7"/>
      <c r="V40" s="9" t="n">
        <f aca="false">IF(LEFT(E40,2)="SF",IF(F40="",0,Weights!$B$2*MAX(0,MIN(1,(Weights!$B$9-F40)/(Weights!$B$9-Weights!$B$8)))),0)</f>
        <v>27</v>
      </c>
      <c r="W40" s="9" t="n">
        <f aca="false">IF(M40="",5,Weights!$B$3*MAX(0,MIN(1,(Weights!$B$7-M40)/(Weights!$B$7-Weights!$B$6))))</f>
        <v>30</v>
      </c>
      <c r="X40" s="9" t="n">
        <f aca="false">IF(O40="none",0,IF(O40="unknown",5,Weights!$B$4))</f>
        <v>15</v>
      </c>
      <c r="Y40" s="9" t="n">
        <f aca="false">IF(K40="",4,IF(AND(K40&gt;=Weights!$B$13,K40&lt;=Weights!$B$14),Weights!$B$5,IF(K40&gt;100,15,IF(K40&gt;=20,12,4))))</f>
        <v>4</v>
      </c>
      <c r="Z40" s="10" t="n">
        <f aca="false">IF(OR(Q40="taken",Q40="sold",Q40="ruled-out"),0,MIN(IF(AND(H40="tourist-hotel",O40="none"),Weights!$B$11,100),V40+W40+X40+Y40)+IF(R40="yes",Weights!$B$10,0))</f>
        <v>76</v>
      </c>
      <c r="AA40" s="7" t="s">
        <v>694</v>
      </c>
    </row>
    <row r="41" customFormat="false" ht="23.85" hidden="false" customHeight="false" outlineLevel="0" collapsed="false">
      <c r="A41" s="7" t="n">
        <f aca="false">RANK(Z41,$Z$2:$Z$78)</f>
        <v>12</v>
      </c>
      <c r="B41" s="7" t="s">
        <v>840</v>
      </c>
      <c r="C41" s="7" t="s">
        <v>841</v>
      </c>
      <c r="D41" s="7" t="s">
        <v>642</v>
      </c>
      <c r="E41" s="7" t="s">
        <v>127</v>
      </c>
      <c r="F41" s="7" t="n">
        <v>5</v>
      </c>
      <c r="G41" s="7" t="s">
        <v>688</v>
      </c>
      <c r="H41" s="7" t="s">
        <v>179</v>
      </c>
      <c r="I41" s="7" t="s">
        <v>710</v>
      </c>
      <c r="J41" s="7" t="s">
        <v>690</v>
      </c>
      <c r="K41" s="7"/>
      <c r="L41" s="7" t="s">
        <v>842</v>
      </c>
      <c r="M41" s="8" t="n">
        <v>1050</v>
      </c>
      <c r="N41" s="8" t="n">
        <f aca="false">M41*Weights!$B$12</f>
        <v>47250</v>
      </c>
      <c r="O41" s="7" t="s">
        <v>99</v>
      </c>
      <c r="P41" s="7" t="s">
        <v>843</v>
      </c>
      <c r="Q41" s="7" t="s">
        <v>115</v>
      </c>
      <c r="R41" s="7" t="s">
        <v>102</v>
      </c>
      <c r="S41" s="7" t="n">
        <v>2</v>
      </c>
      <c r="T41" s="7" t="s">
        <v>92</v>
      </c>
      <c r="U41" s="7"/>
      <c r="V41" s="9" t="n">
        <f aca="false">IF(LEFT(E41,2)="SF",IF(F41="",0,Weights!$B$2*MAX(0,MIN(1,(Weights!$B$9-F41)/(Weights!$B$9-Weights!$B$8)))),0)</f>
        <v>35</v>
      </c>
      <c r="W41" s="9" t="n">
        <f aca="false">IF(M41="",5,Weights!$B$3*MAX(0,MIN(1,(Weights!$B$7-M41)/(Weights!$B$7-Weights!$B$6))))</f>
        <v>28.75</v>
      </c>
      <c r="X41" s="9" t="n">
        <f aca="false">IF(O41="none",0,IF(O41="unknown",5,Weights!$B$4))</f>
        <v>15</v>
      </c>
      <c r="Y41" s="9" t="n">
        <f aca="false">IF(K41="",4,IF(AND(K41&gt;=Weights!$B$13,K41&lt;=Weights!$B$14),Weights!$B$5,IF(K41&gt;100,15,IF(K41&gt;=20,12,4))))</f>
        <v>4</v>
      </c>
      <c r="Z41" s="10" t="n">
        <f aca="false">IF(OR(Q41="taken",Q41="sold",Q41="ruled-out"),0,MIN(IF(AND(H41="tourist-hotel",O41="none"),Weights!$B$11,100),V41+W41+X41+Y41)+IF(R41="yes",Weights!$B$10,0))</f>
        <v>82.75</v>
      </c>
      <c r="AA41" s="7" t="s">
        <v>694</v>
      </c>
    </row>
    <row r="42" customFormat="false" ht="23.85" hidden="false" customHeight="false" outlineLevel="0" collapsed="false">
      <c r="A42" s="7" t="n">
        <f aca="false">RANK(Z42,$Z$2:$Z$78)</f>
        <v>25</v>
      </c>
      <c r="B42" s="7" t="s">
        <v>844</v>
      </c>
      <c r="C42" s="7" t="s">
        <v>845</v>
      </c>
      <c r="D42" s="7" t="s">
        <v>846</v>
      </c>
      <c r="E42" s="7" t="s">
        <v>97</v>
      </c>
      <c r="F42" s="7" t="n">
        <v>23</v>
      </c>
      <c r="G42" s="7" t="s">
        <v>688</v>
      </c>
      <c r="H42" s="7" t="s">
        <v>716</v>
      </c>
      <c r="I42" s="7" t="s">
        <v>717</v>
      </c>
      <c r="J42" s="7" t="s">
        <v>847</v>
      </c>
      <c r="K42" s="7"/>
      <c r="L42" s="7" t="s">
        <v>780</v>
      </c>
      <c r="M42" s="8" t="n">
        <v>1100</v>
      </c>
      <c r="N42" s="8" t="n">
        <f aca="false">M42*Weights!$B$12</f>
        <v>49500</v>
      </c>
      <c r="O42" s="7" t="s">
        <v>99</v>
      </c>
      <c r="P42" s="7" t="s">
        <v>848</v>
      </c>
      <c r="Q42" s="7" t="s">
        <v>115</v>
      </c>
      <c r="R42" s="7" t="s">
        <v>116</v>
      </c>
      <c r="S42" s="7" t="n">
        <v>2</v>
      </c>
      <c r="T42" s="7" t="s">
        <v>92</v>
      </c>
      <c r="U42" s="7"/>
      <c r="V42" s="9" t="n">
        <f aca="false">IF(LEFT(E42,2)="SF",IF(F42="",0,Weights!$B$2*MAX(0,MIN(1,(Weights!$B$9-F42)/(Weights!$B$9-Weights!$B$8)))),0)</f>
        <v>22</v>
      </c>
      <c r="W42" s="9" t="n">
        <f aca="false">IF(M42="",5,Weights!$B$3*MAX(0,MIN(1,(Weights!$B$7-M42)/(Weights!$B$7-Weights!$B$6))))</f>
        <v>27.5</v>
      </c>
      <c r="X42" s="9" t="n">
        <f aca="false">IF(O42="none",0,IF(O42="unknown",5,Weights!$B$4))</f>
        <v>15</v>
      </c>
      <c r="Y42" s="9" t="n">
        <f aca="false">IF(K42="",4,IF(AND(K42&gt;=Weights!$B$13,K42&lt;=Weights!$B$14),Weights!$B$5,IF(K42&gt;100,15,IF(K42&gt;=20,12,4))))</f>
        <v>4</v>
      </c>
      <c r="Z42" s="10" t="n">
        <f aca="false">IF(OR(Q42="taken",Q42="sold",Q42="ruled-out"),0,MIN(IF(AND(H42="tourist-hotel",O42="none"),Weights!$B$11,100),V42+W42+X42+Y42)+IF(R42="yes",Weights!$B$10,0))</f>
        <v>73.5</v>
      </c>
      <c r="AA42" s="7" t="s">
        <v>694</v>
      </c>
    </row>
    <row r="43" customFormat="false" ht="23.85" hidden="false" customHeight="false" outlineLevel="0" collapsed="false">
      <c r="A43" s="7" t="n">
        <f aca="false">RANK(Z43,$Z$2:$Z$78)</f>
        <v>15</v>
      </c>
      <c r="B43" s="7" t="s">
        <v>849</v>
      </c>
      <c r="C43" s="7" t="s">
        <v>850</v>
      </c>
      <c r="D43" s="7" t="s">
        <v>642</v>
      </c>
      <c r="E43" s="7" t="s">
        <v>127</v>
      </c>
      <c r="F43" s="7" t="n">
        <v>9</v>
      </c>
      <c r="G43" s="7" t="s">
        <v>688</v>
      </c>
      <c r="H43" s="7" t="s">
        <v>179</v>
      </c>
      <c r="I43" s="7" t="s">
        <v>710</v>
      </c>
      <c r="J43" s="7" t="s">
        <v>690</v>
      </c>
      <c r="K43" s="7"/>
      <c r="L43" s="7" t="s">
        <v>851</v>
      </c>
      <c r="M43" s="8" t="n">
        <v>1200</v>
      </c>
      <c r="N43" s="8" t="n">
        <f aca="false">M43*Weights!$B$12</f>
        <v>54000</v>
      </c>
      <c r="O43" s="7" t="s">
        <v>99</v>
      </c>
      <c r="P43" s="7" t="s">
        <v>691</v>
      </c>
      <c r="Q43" s="7" t="s">
        <v>115</v>
      </c>
      <c r="R43" s="7" t="s">
        <v>102</v>
      </c>
      <c r="S43" s="7" t="n">
        <v>2</v>
      </c>
      <c r="T43" s="7" t="s">
        <v>92</v>
      </c>
      <c r="U43" s="7"/>
      <c r="V43" s="9" t="n">
        <f aca="false">IF(LEFT(E43,2)="SF",IF(F43="",0,Weights!$B$2*MAX(0,MIN(1,(Weights!$B$9-F43)/(Weights!$B$9-Weights!$B$8)))),0)</f>
        <v>35</v>
      </c>
      <c r="W43" s="9" t="n">
        <f aca="false">IF(M43="",5,Weights!$B$3*MAX(0,MIN(1,(Weights!$B$7-M43)/(Weights!$B$7-Weights!$B$6))))</f>
        <v>25</v>
      </c>
      <c r="X43" s="9" t="n">
        <f aca="false">IF(O43="none",0,IF(O43="unknown",5,Weights!$B$4))</f>
        <v>15</v>
      </c>
      <c r="Y43" s="9" t="n">
        <f aca="false">IF(K43="",4,IF(AND(K43&gt;=Weights!$B$13,K43&lt;=Weights!$B$14),Weights!$B$5,IF(K43&gt;100,15,IF(K43&gt;=20,12,4))))</f>
        <v>4</v>
      </c>
      <c r="Z43" s="10" t="n">
        <f aca="false">IF(OR(Q43="taken",Q43="sold",Q43="ruled-out"),0,MIN(IF(AND(H43="tourist-hotel",O43="none"),Weights!$B$11,100),V43+W43+X43+Y43)+IF(R43="yes",Weights!$B$10,0))</f>
        <v>79</v>
      </c>
      <c r="AA43" s="7" t="s">
        <v>694</v>
      </c>
    </row>
    <row r="44" customFormat="false" ht="23.85" hidden="false" customHeight="false" outlineLevel="0" collapsed="false">
      <c r="A44" s="7" t="n">
        <f aca="false">RANK(Z44,$Z$2:$Z$78)</f>
        <v>32</v>
      </c>
      <c r="B44" s="7" t="s">
        <v>852</v>
      </c>
      <c r="C44" s="7" t="s">
        <v>853</v>
      </c>
      <c r="D44" s="7" t="s">
        <v>854</v>
      </c>
      <c r="E44" s="7" t="s">
        <v>97</v>
      </c>
      <c r="F44" s="7" t="n">
        <v>24</v>
      </c>
      <c r="G44" s="7" t="s">
        <v>688</v>
      </c>
      <c r="H44" s="7" t="s">
        <v>716</v>
      </c>
      <c r="I44" s="7" t="s">
        <v>855</v>
      </c>
      <c r="J44" s="7" t="s">
        <v>856</v>
      </c>
      <c r="K44" s="7"/>
      <c r="L44" s="7" t="s">
        <v>690</v>
      </c>
      <c r="M44" s="8" t="n">
        <v>1200</v>
      </c>
      <c r="N44" s="8" t="n">
        <f aca="false">M44*Weights!$B$12</f>
        <v>54000</v>
      </c>
      <c r="O44" s="7" t="s">
        <v>99</v>
      </c>
      <c r="P44" s="7" t="s">
        <v>691</v>
      </c>
      <c r="Q44" s="7" t="s">
        <v>115</v>
      </c>
      <c r="R44" s="7" t="s">
        <v>102</v>
      </c>
      <c r="S44" s="7" t="n">
        <v>2</v>
      </c>
      <c r="T44" s="7" t="s">
        <v>92</v>
      </c>
      <c r="U44" s="7"/>
      <c r="V44" s="9" t="n">
        <f aca="false">IF(LEFT(E44,2)="SF",IF(F44="",0,Weights!$B$2*MAX(0,MIN(1,(Weights!$B$9-F44)/(Weights!$B$9-Weights!$B$8)))),0)</f>
        <v>21</v>
      </c>
      <c r="W44" s="9" t="n">
        <f aca="false">IF(M44="",5,Weights!$B$3*MAX(0,MIN(1,(Weights!$B$7-M44)/(Weights!$B$7-Weights!$B$6))))</f>
        <v>25</v>
      </c>
      <c r="X44" s="9" t="n">
        <f aca="false">IF(O44="none",0,IF(O44="unknown",5,Weights!$B$4))</f>
        <v>15</v>
      </c>
      <c r="Y44" s="9" t="n">
        <f aca="false">IF(K44="",4,IF(AND(K44&gt;=Weights!$B$13,K44&lt;=Weights!$B$14),Weights!$B$5,IF(K44&gt;100,15,IF(K44&gt;=20,12,4))))</f>
        <v>4</v>
      </c>
      <c r="Z44" s="10" t="n">
        <f aca="false">IF(OR(Q44="taken",Q44="sold",Q44="ruled-out"),0,MIN(IF(AND(H44="tourist-hotel",O44="none"),Weights!$B$11,100),V44+W44+X44+Y44)+IF(R44="yes",Weights!$B$10,0))</f>
        <v>65</v>
      </c>
      <c r="AA44" s="7" t="s">
        <v>694</v>
      </c>
    </row>
    <row r="45" customFormat="false" ht="23.85" hidden="false" customHeight="false" outlineLevel="0" collapsed="false">
      <c r="A45" s="7" t="n">
        <f aca="false">RANK(Z45,$Z$2:$Z$78)</f>
        <v>49</v>
      </c>
      <c r="B45" s="7" t="s">
        <v>857</v>
      </c>
      <c r="C45" s="7" t="s">
        <v>858</v>
      </c>
      <c r="D45" s="7" t="s">
        <v>567</v>
      </c>
      <c r="E45" s="7" t="s">
        <v>97</v>
      </c>
      <c r="F45" s="7" t="n">
        <v>56</v>
      </c>
      <c r="G45" s="7" t="s">
        <v>688</v>
      </c>
      <c r="H45" s="7" t="s">
        <v>716</v>
      </c>
      <c r="I45" s="7" t="s">
        <v>859</v>
      </c>
      <c r="J45" s="7" t="s">
        <v>860</v>
      </c>
      <c r="K45" s="7"/>
      <c r="L45" s="7" t="s">
        <v>861</v>
      </c>
      <c r="M45" s="8" t="n">
        <v>1200</v>
      </c>
      <c r="N45" s="8" t="n">
        <f aca="false">M45*Weights!$B$12</f>
        <v>54000</v>
      </c>
      <c r="O45" s="7" t="s">
        <v>99</v>
      </c>
      <c r="P45" s="7" t="s">
        <v>691</v>
      </c>
      <c r="Q45" s="7" t="s">
        <v>115</v>
      </c>
      <c r="R45" s="7" t="s">
        <v>116</v>
      </c>
      <c r="S45" s="7" t="n">
        <v>2</v>
      </c>
      <c r="T45" s="7" t="s">
        <v>92</v>
      </c>
      <c r="U45" s="7"/>
      <c r="V45" s="9" t="n">
        <f aca="false">IF(LEFT(E45,2)="SF",IF(F45="",0,Weights!$B$2*MAX(0,MIN(1,(Weights!$B$9-F45)/(Weights!$B$9-Weights!$B$8)))),0)</f>
        <v>0</v>
      </c>
      <c r="W45" s="9" t="n">
        <f aca="false">IF(M45="",5,Weights!$B$3*MAX(0,MIN(1,(Weights!$B$7-M45)/(Weights!$B$7-Weights!$B$6))))</f>
        <v>25</v>
      </c>
      <c r="X45" s="9" t="n">
        <f aca="false">IF(O45="none",0,IF(O45="unknown",5,Weights!$B$4))</f>
        <v>15</v>
      </c>
      <c r="Y45" s="9" t="n">
        <f aca="false">IF(K45="",4,IF(AND(K45&gt;=Weights!$B$13,K45&lt;=Weights!$B$14),Weights!$B$5,IF(K45&gt;100,15,IF(K45&gt;=20,12,4))))</f>
        <v>4</v>
      </c>
      <c r="Z45" s="10" t="n">
        <f aca="false">IF(OR(Q45="taken",Q45="sold",Q45="ruled-out"),0,MIN(IF(AND(H45="tourist-hotel",O45="none"),Weights!$B$11,100),V45+W45+X45+Y45)+IF(R45="yes",Weights!$B$10,0))</f>
        <v>49</v>
      </c>
      <c r="AA45" s="7" t="s">
        <v>694</v>
      </c>
    </row>
    <row r="46" customFormat="false" ht="23.85" hidden="false" customHeight="false" outlineLevel="0" collapsed="false">
      <c r="A46" s="7" t="n">
        <f aca="false">RANK(Z46,$Z$2:$Z$78)</f>
        <v>43</v>
      </c>
      <c r="B46" s="7" t="s">
        <v>862</v>
      </c>
      <c r="C46" s="7" t="s">
        <v>863</v>
      </c>
      <c r="D46" s="7" t="s">
        <v>96</v>
      </c>
      <c r="E46" s="7" t="s">
        <v>97</v>
      </c>
      <c r="F46" s="7" t="n">
        <v>45</v>
      </c>
      <c r="G46" s="7" t="s">
        <v>688</v>
      </c>
      <c r="H46" s="7" t="s">
        <v>179</v>
      </c>
      <c r="I46" s="7" t="s">
        <v>864</v>
      </c>
      <c r="J46" s="7" t="s">
        <v>865</v>
      </c>
      <c r="K46" s="7" t="n">
        <v>40</v>
      </c>
      <c r="L46" s="7" t="s">
        <v>690</v>
      </c>
      <c r="M46" s="8" t="n">
        <v>1300</v>
      </c>
      <c r="N46" s="8" t="n">
        <f aca="false">M46*Weights!$B$12</f>
        <v>58500</v>
      </c>
      <c r="O46" s="7" t="s">
        <v>99</v>
      </c>
      <c r="P46" s="7" t="s">
        <v>691</v>
      </c>
      <c r="Q46" s="7" t="s">
        <v>115</v>
      </c>
      <c r="R46" s="7" t="s">
        <v>102</v>
      </c>
      <c r="S46" s="7" t="n">
        <v>2</v>
      </c>
      <c r="T46" s="7" t="s">
        <v>92</v>
      </c>
      <c r="U46" s="7"/>
      <c r="V46" s="9" t="n">
        <f aca="false">IF(LEFT(E46,2)="SF",IF(F46="",0,Weights!$B$2*MAX(0,MIN(1,(Weights!$B$9-F46)/(Weights!$B$9-Weights!$B$8)))),0)</f>
        <v>0</v>
      </c>
      <c r="W46" s="9" t="n">
        <f aca="false">IF(M46="",5,Weights!$B$3*MAX(0,MIN(1,(Weights!$B$7-M46)/(Weights!$B$7-Weights!$B$6))))</f>
        <v>22.5</v>
      </c>
      <c r="X46" s="9" t="n">
        <f aca="false">IF(O46="none",0,IF(O46="unknown",5,Weights!$B$4))</f>
        <v>15</v>
      </c>
      <c r="Y46" s="9" t="n">
        <f aca="false">IF(K46="",4,IF(AND(K46&gt;=Weights!$B$13,K46&lt;=Weights!$B$14),Weights!$B$5,IF(K46&gt;100,15,IF(K46&gt;=20,12,4))))</f>
        <v>20</v>
      </c>
      <c r="Z46" s="10" t="n">
        <f aca="false">IF(OR(Q46="taken",Q46="sold",Q46="ruled-out"),0,MIN(IF(AND(H46="tourist-hotel",O46="none"),Weights!$B$11,100),V46+W46+X46+Y46)+IF(R46="yes",Weights!$B$10,0))</f>
        <v>57.5</v>
      </c>
      <c r="AA46" s="7" t="s">
        <v>694</v>
      </c>
    </row>
    <row r="47" customFormat="false" ht="23.85" hidden="false" customHeight="false" outlineLevel="0" collapsed="false">
      <c r="A47" s="7" t="n">
        <f aca="false">RANK(Z47,$Z$2:$Z$78)</f>
        <v>48</v>
      </c>
      <c r="B47" s="7" t="s">
        <v>866</v>
      </c>
      <c r="C47" s="7" t="s">
        <v>867</v>
      </c>
      <c r="D47" s="7" t="s">
        <v>868</v>
      </c>
      <c r="E47" s="7" t="s">
        <v>97</v>
      </c>
      <c r="F47" s="7" t="n">
        <v>35</v>
      </c>
      <c r="G47" s="7" t="s">
        <v>688</v>
      </c>
      <c r="H47" s="7" t="s">
        <v>179</v>
      </c>
      <c r="I47" s="7" t="s">
        <v>710</v>
      </c>
      <c r="J47" s="7" t="s">
        <v>690</v>
      </c>
      <c r="K47" s="7"/>
      <c r="L47" s="7" t="s">
        <v>690</v>
      </c>
      <c r="M47" s="8" t="n">
        <v>1300</v>
      </c>
      <c r="N47" s="8" t="n">
        <f aca="false">M47*Weights!$B$12</f>
        <v>58500</v>
      </c>
      <c r="O47" s="7" t="s">
        <v>99</v>
      </c>
      <c r="P47" s="7" t="s">
        <v>691</v>
      </c>
      <c r="Q47" s="7" t="s">
        <v>115</v>
      </c>
      <c r="R47" s="7" t="s">
        <v>102</v>
      </c>
      <c r="S47" s="7" t="n">
        <v>2</v>
      </c>
      <c r="T47" s="7" t="s">
        <v>92</v>
      </c>
      <c r="U47" s="7"/>
      <c r="V47" s="9" t="n">
        <f aca="false">IF(LEFT(E47,2)="SF",IF(F47="",0,Weights!$B$2*MAX(0,MIN(1,(Weights!$B$9-F47)/(Weights!$B$9-Weights!$B$8)))),0)</f>
        <v>10</v>
      </c>
      <c r="W47" s="9" t="n">
        <f aca="false">IF(M47="",5,Weights!$B$3*MAX(0,MIN(1,(Weights!$B$7-M47)/(Weights!$B$7-Weights!$B$6))))</f>
        <v>22.5</v>
      </c>
      <c r="X47" s="9" t="n">
        <f aca="false">IF(O47="none",0,IF(O47="unknown",5,Weights!$B$4))</f>
        <v>15</v>
      </c>
      <c r="Y47" s="9" t="n">
        <f aca="false">IF(K47="",4,IF(AND(K47&gt;=Weights!$B$13,K47&lt;=Weights!$B$14),Weights!$B$5,IF(K47&gt;100,15,IF(K47&gt;=20,12,4))))</f>
        <v>4</v>
      </c>
      <c r="Z47" s="10" t="n">
        <f aca="false">IF(OR(Q47="taken",Q47="sold",Q47="ruled-out"),0,MIN(IF(AND(H47="tourist-hotel",O47="none"),Weights!$B$11,100),V47+W47+X47+Y47)+IF(R47="yes",Weights!$B$10,0))</f>
        <v>51.5</v>
      </c>
      <c r="AA47" s="7" t="s">
        <v>694</v>
      </c>
    </row>
    <row r="48" customFormat="false" ht="23.85" hidden="false" customHeight="false" outlineLevel="0" collapsed="false">
      <c r="A48" s="7" t="n">
        <f aca="false">RANK(Z48,$Z$2:$Z$78)</f>
        <v>27</v>
      </c>
      <c r="B48" s="7" t="s">
        <v>869</v>
      </c>
      <c r="C48" s="7" t="s">
        <v>870</v>
      </c>
      <c r="D48" s="7" t="s">
        <v>707</v>
      </c>
      <c r="E48" s="7" t="s">
        <v>127</v>
      </c>
      <c r="F48" s="7" t="n">
        <v>9</v>
      </c>
      <c r="G48" s="7" t="s">
        <v>688</v>
      </c>
      <c r="H48" s="7" t="s">
        <v>78</v>
      </c>
      <c r="I48" s="7" t="s">
        <v>871</v>
      </c>
      <c r="J48" s="7" t="s">
        <v>838</v>
      </c>
      <c r="K48" s="7"/>
      <c r="L48" s="7" t="s">
        <v>872</v>
      </c>
      <c r="M48" s="8" t="n">
        <v>1400</v>
      </c>
      <c r="N48" s="8" t="n">
        <f aca="false">M48*Weights!$B$12</f>
        <v>63000</v>
      </c>
      <c r="O48" s="7" t="s">
        <v>102</v>
      </c>
      <c r="P48" s="7" t="s">
        <v>873</v>
      </c>
      <c r="Q48" s="7" t="s">
        <v>115</v>
      </c>
      <c r="R48" s="7" t="s">
        <v>116</v>
      </c>
      <c r="S48" s="7" t="n">
        <v>2</v>
      </c>
      <c r="T48" s="7" t="s">
        <v>92</v>
      </c>
      <c r="U48" s="7"/>
      <c r="V48" s="9" t="n">
        <f aca="false">IF(LEFT(E48,2)="SF",IF(F48="",0,Weights!$B$2*MAX(0,MIN(1,(Weights!$B$9-F48)/(Weights!$B$9-Weights!$B$8)))),0)</f>
        <v>35</v>
      </c>
      <c r="W48" s="9" t="n">
        <f aca="false">IF(M48="",5,Weights!$B$3*MAX(0,MIN(1,(Weights!$B$7-M48)/(Weights!$B$7-Weights!$B$6))))</f>
        <v>20</v>
      </c>
      <c r="X48" s="9" t="n">
        <f aca="false">IF(O48="none",0,IF(O48="unknown",5,Weights!$B$4))</f>
        <v>5</v>
      </c>
      <c r="Y48" s="9" t="n">
        <f aca="false">IF(K48="",4,IF(AND(K48&gt;=Weights!$B$13,K48&lt;=Weights!$B$14),Weights!$B$5,IF(K48&gt;100,15,IF(K48&gt;=20,12,4))))</f>
        <v>4</v>
      </c>
      <c r="Z48" s="10" t="n">
        <f aca="false">IF(OR(Q48="taken",Q48="sold",Q48="ruled-out"),0,MIN(IF(AND(H48="tourist-hotel",O48="none"),Weights!$B$11,100),V48+W48+X48+Y48)+IF(R48="yes",Weights!$B$10,0))</f>
        <v>69</v>
      </c>
      <c r="AA48" s="7" t="s">
        <v>694</v>
      </c>
    </row>
    <row r="49" customFormat="false" ht="23.85" hidden="false" customHeight="false" outlineLevel="0" collapsed="false">
      <c r="A49" s="7" t="n">
        <f aca="false">RANK(Z49,$Z$2:$Z$78)</f>
        <v>27</v>
      </c>
      <c r="B49" s="7" t="s">
        <v>874</v>
      </c>
      <c r="C49" s="7" t="s">
        <v>875</v>
      </c>
      <c r="D49" s="7" t="s">
        <v>126</v>
      </c>
      <c r="E49" s="7" t="s">
        <v>127</v>
      </c>
      <c r="F49" s="7" t="n">
        <v>10</v>
      </c>
      <c r="G49" s="7" t="s">
        <v>688</v>
      </c>
      <c r="H49" s="7" t="s">
        <v>78</v>
      </c>
      <c r="I49" s="7" t="s">
        <v>871</v>
      </c>
      <c r="J49" s="7" t="s">
        <v>838</v>
      </c>
      <c r="K49" s="7"/>
      <c r="L49" s="7" t="s">
        <v>872</v>
      </c>
      <c r="M49" s="8" t="n">
        <v>1400</v>
      </c>
      <c r="N49" s="8" t="n">
        <f aca="false">M49*Weights!$B$12</f>
        <v>63000</v>
      </c>
      <c r="O49" s="7" t="s">
        <v>102</v>
      </c>
      <c r="P49" s="7" t="s">
        <v>873</v>
      </c>
      <c r="Q49" s="7" t="s">
        <v>115</v>
      </c>
      <c r="R49" s="7" t="s">
        <v>116</v>
      </c>
      <c r="S49" s="7" t="n">
        <v>2</v>
      </c>
      <c r="T49" s="7" t="s">
        <v>92</v>
      </c>
      <c r="U49" s="7"/>
      <c r="V49" s="9" t="n">
        <f aca="false">IF(LEFT(E49,2)="SF",IF(F49="",0,Weights!$B$2*MAX(0,MIN(1,(Weights!$B$9-F49)/(Weights!$B$9-Weights!$B$8)))),0)</f>
        <v>35</v>
      </c>
      <c r="W49" s="9" t="n">
        <f aca="false">IF(M49="",5,Weights!$B$3*MAX(0,MIN(1,(Weights!$B$7-M49)/(Weights!$B$7-Weights!$B$6))))</f>
        <v>20</v>
      </c>
      <c r="X49" s="9" t="n">
        <f aca="false">IF(O49="none",0,IF(O49="unknown",5,Weights!$B$4))</f>
        <v>5</v>
      </c>
      <c r="Y49" s="9" t="n">
        <f aca="false">IF(K49="",4,IF(AND(K49&gt;=Weights!$B$13,K49&lt;=Weights!$B$14),Weights!$B$5,IF(K49&gt;100,15,IF(K49&gt;=20,12,4))))</f>
        <v>4</v>
      </c>
      <c r="Z49" s="10" t="n">
        <f aca="false">IF(OR(Q49="taken",Q49="sold",Q49="ruled-out"),0,MIN(IF(AND(H49="tourist-hotel",O49="none"),Weights!$B$11,100),V49+W49+X49+Y49)+IF(R49="yes",Weights!$B$10,0))</f>
        <v>69</v>
      </c>
      <c r="AA49" s="7" t="s">
        <v>694</v>
      </c>
    </row>
    <row r="50" customFormat="false" ht="23.85" hidden="false" customHeight="false" outlineLevel="0" collapsed="false">
      <c r="A50" s="7" t="n">
        <f aca="false">RANK(Z50,$Z$2:$Z$78)</f>
        <v>60</v>
      </c>
      <c r="B50" s="7" t="s">
        <v>876</v>
      </c>
      <c r="C50" s="7" t="s">
        <v>877</v>
      </c>
      <c r="D50" s="7" t="s">
        <v>96</v>
      </c>
      <c r="E50" s="7" t="s">
        <v>97</v>
      </c>
      <c r="F50" s="7" t="n">
        <v>40</v>
      </c>
      <c r="G50" s="7" t="s">
        <v>688</v>
      </c>
      <c r="H50" s="7" t="s">
        <v>179</v>
      </c>
      <c r="I50" s="7" t="s">
        <v>878</v>
      </c>
      <c r="J50" s="7" t="s">
        <v>690</v>
      </c>
      <c r="K50" s="7"/>
      <c r="L50" s="7" t="s">
        <v>690</v>
      </c>
      <c r="M50" s="8" t="n">
        <v>1400</v>
      </c>
      <c r="N50" s="8" t="n">
        <f aca="false">M50*Weights!$B$12</f>
        <v>63000</v>
      </c>
      <c r="O50" s="7" t="s">
        <v>99</v>
      </c>
      <c r="P50" s="7" t="s">
        <v>691</v>
      </c>
      <c r="Q50" s="7" t="s">
        <v>115</v>
      </c>
      <c r="R50" s="7" t="s">
        <v>102</v>
      </c>
      <c r="S50" s="7" t="n">
        <v>2</v>
      </c>
      <c r="T50" s="7" t="s">
        <v>92</v>
      </c>
      <c r="U50" s="7"/>
      <c r="V50" s="9" t="n">
        <f aca="false">IF(LEFT(E50,2)="SF",IF(F50="",0,Weights!$B$2*MAX(0,MIN(1,(Weights!$B$9-F50)/(Weights!$B$9-Weights!$B$8)))),0)</f>
        <v>5</v>
      </c>
      <c r="W50" s="9" t="n">
        <f aca="false">IF(M50="",5,Weights!$B$3*MAX(0,MIN(1,(Weights!$B$7-M50)/(Weights!$B$7-Weights!$B$6))))</f>
        <v>20</v>
      </c>
      <c r="X50" s="9" t="n">
        <f aca="false">IF(O50="none",0,IF(O50="unknown",5,Weights!$B$4))</f>
        <v>15</v>
      </c>
      <c r="Y50" s="9" t="n">
        <f aca="false">IF(K50="",4,IF(AND(K50&gt;=Weights!$B$13,K50&lt;=Weights!$B$14),Weights!$B$5,IF(K50&gt;100,15,IF(K50&gt;=20,12,4))))</f>
        <v>4</v>
      </c>
      <c r="Z50" s="10" t="n">
        <f aca="false">IF(OR(Q50="taken",Q50="sold",Q50="ruled-out"),0,MIN(IF(AND(H50="tourist-hotel",O50="none"),Weights!$B$11,100),V50+W50+X50+Y50)+IF(R50="yes",Weights!$B$10,0))</f>
        <v>44</v>
      </c>
      <c r="AA50" s="7" t="s">
        <v>694</v>
      </c>
    </row>
    <row r="51" customFormat="false" ht="23.85" hidden="false" customHeight="false" outlineLevel="0" collapsed="false">
      <c r="A51" s="7" t="n">
        <f aca="false">RANK(Z51,$Z$2:$Z$78)</f>
        <v>68</v>
      </c>
      <c r="B51" s="7" t="s">
        <v>879</v>
      </c>
      <c r="C51" s="7" t="s">
        <v>880</v>
      </c>
      <c r="D51" s="7" t="s">
        <v>881</v>
      </c>
      <c r="E51" s="7" t="s">
        <v>97</v>
      </c>
      <c r="F51" s="7" t="n">
        <v>63</v>
      </c>
      <c r="G51" s="7" t="s">
        <v>688</v>
      </c>
      <c r="H51" s="7" t="s">
        <v>179</v>
      </c>
      <c r="I51" s="7" t="s">
        <v>882</v>
      </c>
      <c r="J51" s="7" t="s">
        <v>883</v>
      </c>
      <c r="K51" s="7" t="n">
        <v>18</v>
      </c>
      <c r="L51" s="7" t="s">
        <v>690</v>
      </c>
      <c r="M51" s="8" t="n">
        <v>1400</v>
      </c>
      <c r="N51" s="8" t="n">
        <f aca="false">M51*Weights!$B$12</f>
        <v>63000</v>
      </c>
      <c r="O51" s="7" t="s">
        <v>99</v>
      </c>
      <c r="P51" s="7" t="s">
        <v>691</v>
      </c>
      <c r="Q51" s="7" t="s">
        <v>115</v>
      </c>
      <c r="R51" s="7" t="s">
        <v>102</v>
      </c>
      <c r="S51" s="7" t="n">
        <v>2</v>
      </c>
      <c r="T51" s="7" t="s">
        <v>92</v>
      </c>
      <c r="U51" s="7"/>
      <c r="V51" s="9" t="n">
        <f aca="false">IF(LEFT(E51,2)="SF",IF(F51="",0,Weights!$B$2*MAX(0,MIN(1,(Weights!$B$9-F51)/(Weights!$B$9-Weights!$B$8)))),0)</f>
        <v>0</v>
      </c>
      <c r="W51" s="9" t="n">
        <f aca="false">IF(M51="",5,Weights!$B$3*MAX(0,MIN(1,(Weights!$B$7-M51)/(Weights!$B$7-Weights!$B$6))))</f>
        <v>20</v>
      </c>
      <c r="X51" s="9" t="n">
        <f aca="false">IF(O51="none",0,IF(O51="unknown",5,Weights!$B$4))</f>
        <v>15</v>
      </c>
      <c r="Y51" s="9" t="n">
        <f aca="false">IF(K51="",4,IF(AND(K51&gt;=Weights!$B$13,K51&lt;=Weights!$B$14),Weights!$B$5,IF(K51&gt;100,15,IF(K51&gt;=20,12,4))))</f>
        <v>4</v>
      </c>
      <c r="Z51" s="10" t="n">
        <f aca="false">IF(OR(Q51="taken",Q51="sold",Q51="ruled-out"),0,MIN(IF(AND(H51="tourist-hotel",O51="none"),Weights!$B$11,100),V51+W51+X51+Y51)+IF(R51="yes",Weights!$B$10,0))</f>
        <v>39</v>
      </c>
      <c r="AA51" s="7" t="s">
        <v>694</v>
      </c>
    </row>
    <row r="52" customFormat="false" ht="23.85" hidden="false" customHeight="false" outlineLevel="0" collapsed="false">
      <c r="A52" s="7" t="n">
        <f aca="false">RANK(Z52,$Z$2:$Z$78)</f>
        <v>66</v>
      </c>
      <c r="B52" s="7" t="s">
        <v>884</v>
      </c>
      <c r="C52" s="7" t="s">
        <v>885</v>
      </c>
      <c r="D52" s="7" t="s">
        <v>96</v>
      </c>
      <c r="E52" s="7" t="s">
        <v>97</v>
      </c>
      <c r="F52" s="7" t="n">
        <v>42</v>
      </c>
      <c r="G52" s="7" t="s">
        <v>688</v>
      </c>
      <c r="H52" s="7" t="s">
        <v>179</v>
      </c>
      <c r="I52" s="7" t="s">
        <v>886</v>
      </c>
      <c r="J52" s="7" t="s">
        <v>887</v>
      </c>
      <c r="K52" s="7"/>
      <c r="L52" s="7" t="s">
        <v>690</v>
      </c>
      <c r="M52" s="8" t="n">
        <v>1500</v>
      </c>
      <c r="N52" s="8" t="n">
        <f aca="false">M52*Weights!$B$12</f>
        <v>67500</v>
      </c>
      <c r="O52" s="7" t="s">
        <v>99</v>
      </c>
      <c r="P52" s="7" t="s">
        <v>691</v>
      </c>
      <c r="Q52" s="7" t="s">
        <v>115</v>
      </c>
      <c r="R52" s="7" t="s">
        <v>102</v>
      </c>
      <c r="S52" s="7" t="n">
        <v>2</v>
      </c>
      <c r="T52" s="7" t="s">
        <v>92</v>
      </c>
      <c r="U52" s="7"/>
      <c r="V52" s="9" t="n">
        <f aca="false">IF(LEFT(E52,2)="SF",IF(F52="",0,Weights!$B$2*MAX(0,MIN(1,(Weights!$B$9-F52)/(Weights!$B$9-Weights!$B$8)))),0)</f>
        <v>3</v>
      </c>
      <c r="W52" s="9" t="n">
        <f aca="false">IF(M52="",5,Weights!$B$3*MAX(0,MIN(1,(Weights!$B$7-M52)/(Weights!$B$7-Weights!$B$6))))</f>
        <v>17.5</v>
      </c>
      <c r="X52" s="9" t="n">
        <f aca="false">IF(O52="none",0,IF(O52="unknown",5,Weights!$B$4))</f>
        <v>15</v>
      </c>
      <c r="Y52" s="9" t="n">
        <f aca="false">IF(K52="",4,IF(AND(K52&gt;=Weights!$B$13,K52&lt;=Weights!$B$14),Weights!$B$5,IF(K52&gt;100,15,IF(K52&gt;=20,12,4))))</f>
        <v>4</v>
      </c>
      <c r="Z52" s="10" t="n">
        <f aca="false">IF(OR(Q52="taken",Q52="sold",Q52="ruled-out"),0,MIN(IF(AND(H52="tourist-hotel",O52="none"),Weights!$B$11,100),V52+W52+X52+Y52)+IF(R52="yes",Weights!$B$10,0))</f>
        <v>39.5</v>
      </c>
      <c r="AA52" s="7" t="s">
        <v>694</v>
      </c>
    </row>
    <row r="53" customFormat="false" ht="23.85" hidden="false" customHeight="false" outlineLevel="0" collapsed="false">
      <c r="A53" s="7" t="n">
        <f aca="false">RANK(Z53,$Z$2:$Z$78)</f>
        <v>66</v>
      </c>
      <c r="B53" s="7" t="s">
        <v>888</v>
      </c>
      <c r="C53" s="7" t="s">
        <v>889</v>
      </c>
      <c r="D53" s="7" t="s">
        <v>96</v>
      </c>
      <c r="E53" s="7" t="s">
        <v>97</v>
      </c>
      <c r="F53" s="7" t="n">
        <v>42</v>
      </c>
      <c r="G53" s="7" t="s">
        <v>688</v>
      </c>
      <c r="H53" s="7" t="s">
        <v>179</v>
      </c>
      <c r="I53" s="7" t="s">
        <v>886</v>
      </c>
      <c r="J53" s="7" t="s">
        <v>690</v>
      </c>
      <c r="K53" s="7"/>
      <c r="L53" s="7" t="s">
        <v>690</v>
      </c>
      <c r="M53" s="8" t="n">
        <v>1500</v>
      </c>
      <c r="N53" s="8" t="n">
        <f aca="false">M53*Weights!$B$12</f>
        <v>67500</v>
      </c>
      <c r="O53" s="7" t="s">
        <v>99</v>
      </c>
      <c r="P53" s="7" t="s">
        <v>691</v>
      </c>
      <c r="Q53" s="7" t="s">
        <v>115</v>
      </c>
      <c r="R53" s="7" t="s">
        <v>102</v>
      </c>
      <c r="S53" s="7" t="n">
        <v>2</v>
      </c>
      <c r="T53" s="7" t="s">
        <v>92</v>
      </c>
      <c r="U53" s="7"/>
      <c r="V53" s="9" t="n">
        <f aca="false">IF(LEFT(E53,2)="SF",IF(F53="",0,Weights!$B$2*MAX(0,MIN(1,(Weights!$B$9-F53)/(Weights!$B$9-Weights!$B$8)))),0)</f>
        <v>3</v>
      </c>
      <c r="W53" s="9" t="n">
        <f aca="false">IF(M53="",5,Weights!$B$3*MAX(0,MIN(1,(Weights!$B$7-M53)/(Weights!$B$7-Weights!$B$6))))</f>
        <v>17.5</v>
      </c>
      <c r="X53" s="9" t="n">
        <f aca="false">IF(O53="none",0,IF(O53="unknown",5,Weights!$B$4))</f>
        <v>15</v>
      </c>
      <c r="Y53" s="9" t="n">
        <f aca="false">IF(K53="",4,IF(AND(K53&gt;=Weights!$B$13,K53&lt;=Weights!$B$14),Weights!$B$5,IF(K53&gt;100,15,IF(K53&gt;=20,12,4))))</f>
        <v>4</v>
      </c>
      <c r="Z53" s="10" t="n">
        <f aca="false">IF(OR(Q53="taken",Q53="sold",Q53="ruled-out"),0,MIN(IF(AND(H53="tourist-hotel",O53="none"),Weights!$B$11,100),V53+W53+X53+Y53)+IF(R53="yes",Weights!$B$10,0))</f>
        <v>39.5</v>
      </c>
      <c r="AA53" s="7" t="s">
        <v>694</v>
      </c>
    </row>
    <row r="54" customFormat="false" ht="23.85" hidden="false" customHeight="false" outlineLevel="0" collapsed="false">
      <c r="A54" s="7" t="n">
        <f aca="false">RANK(Z54,$Z$2:$Z$78)</f>
        <v>36</v>
      </c>
      <c r="B54" s="7" t="s">
        <v>890</v>
      </c>
      <c r="C54" s="7" t="s">
        <v>891</v>
      </c>
      <c r="D54" s="7" t="s">
        <v>891</v>
      </c>
      <c r="E54" s="7" t="s">
        <v>127</v>
      </c>
      <c r="F54" s="7" t="n">
        <v>18</v>
      </c>
      <c r="G54" s="7" t="s">
        <v>688</v>
      </c>
      <c r="H54" s="7" t="s">
        <v>179</v>
      </c>
      <c r="I54" s="7" t="s">
        <v>892</v>
      </c>
      <c r="J54" s="7" t="s">
        <v>893</v>
      </c>
      <c r="K54" s="7"/>
      <c r="L54" s="7" t="s">
        <v>894</v>
      </c>
      <c r="M54" s="8" t="n">
        <v>1500</v>
      </c>
      <c r="N54" s="8" t="n">
        <f aca="false">M54*Weights!$B$12</f>
        <v>67500</v>
      </c>
      <c r="O54" s="7" t="s">
        <v>99</v>
      </c>
      <c r="P54" s="7" t="s">
        <v>691</v>
      </c>
      <c r="Q54" s="7" t="s">
        <v>115</v>
      </c>
      <c r="R54" s="7" t="s">
        <v>102</v>
      </c>
      <c r="S54" s="7" t="n">
        <v>2</v>
      </c>
      <c r="T54" s="7" t="s">
        <v>92</v>
      </c>
      <c r="U54" s="7"/>
      <c r="V54" s="9" t="n">
        <f aca="false">IF(LEFT(E54,2)="SF",IF(F54="",0,Weights!$B$2*MAX(0,MIN(1,(Weights!$B$9-F54)/(Weights!$B$9-Weights!$B$8)))),0)</f>
        <v>27</v>
      </c>
      <c r="W54" s="9" t="n">
        <f aca="false">IF(M54="",5,Weights!$B$3*MAX(0,MIN(1,(Weights!$B$7-M54)/(Weights!$B$7-Weights!$B$6))))</f>
        <v>17.5</v>
      </c>
      <c r="X54" s="9" t="n">
        <f aca="false">IF(O54="none",0,IF(O54="unknown",5,Weights!$B$4))</f>
        <v>15</v>
      </c>
      <c r="Y54" s="9" t="n">
        <f aca="false">IF(K54="",4,IF(AND(K54&gt;=Weights!$B$13,K54&lt;=Weights!$B$14),Weights!$B$5,IF(K54&gt;100,15,IF(K54&gt;=20,12,4))))</f>
        <v>4</v>
      </c>
      <c r="Z54" s="10" t="n">
        <f aca="false">IF(OR(Q54="taken",Q54="sold",Q54="ruled-out"),0,MIN(IF(AND(H54="tourist-hotel",O54="none"),Weights!$B$11,100),V54+W54+X54+Y54)+IF(R54="yes",Weights!$B$10,0))</f>
        <v>63.5</v>
      </c>
      <c r="AA54" s="7" t="s">
        <v>694</v>
      </c>
    </row>
    <row r="55" customFormat="false" ht="23.85" hidden="false" customHeight="false" outlineLevel="0" collapsed="false">
      <c r="A55" s="7" t="n">
        <f aca="false">RANK(Z55,$Z$2:$Z$78)</f>
        <v>46</v>
      </c>
      <c r="B55" s="7" t="s">
        <v>604</v>
      </c>
      <c r="C55" s="7" t="s">
        <v>895</v>
      </c>
      <c r="D55" s="7" t="s">
        <v>150</v>
      </c>
      <c r="E55" s="7" t="s">
        <v>127</v>
      </c>
      <c r="F55" s="7" t="n">
        <v>27</v>
      </c>
      <c r="G55" s="7" t="s">
        <v>688</v>
      </c>
      <c r="H55" s="7" t="s">
        <v>98</v>
      </c>
      <c r="I55" s="7" t="s">
        <v>896</v>
      </c>
      <c r="J55" s="7" t="s">
        <v>838</v>
      </c>
      <c r="K55" s="7"/>
      <c r="L55" s="7" t="s">
        <v>897</v>
      </c>
      <c r="M55" s="8" t="n">
        <v>1600</v>
      </c>
      <c r="N55" s="8" t="n">
        <f aca="false">M55*Weights!$B$12</f>
        <v>72000</v>
      </c>
      <c r="O55" s="7" t="s">
        <v>99</v>
      </c>
      <c r="P55" s="7" t="s">
        <v>898</v>
      </c>
      <c r="Q55" s="7" t="s">
        <v>115</v>
      </c>
      <c r="R55" s="7" t="s">
        <v>102</v>
      </c>
      <c r="S55" s="7" t="n">
        <v>2</v>
      </c>
      <c r="T55" s="7" t="s">
        <v>92</v>
      </c>
      <c r="U55" s="7"/>
      <c r="V55" s="9" t="n">
        <f aca="false">IF(LEFT(E55,2)="SF",IF(F55="",0,Weights!$B$2*MAX(0,MIN(1,(Weights!$B$9-F55)/(Weights!$B$9-Weights!$B$8)))),0)</f>
        <v>18</v>
      </c>
      <c r="W55" s="9" t="n">
        <f aca="false">IF(M55="",5,Weights!$B$3*MAX(0,MIN(1,(Weights!$B$7-M55)/(Weights!$B$7-Weights!$B$6))))</f>
        <v>15</v>
      </c>
      <c r="X55" s="9" t="n">
        <f aca="false">IF(O55="none",0,IF(O55="unknown",5,Weights!$B$4))</f>
        <v>15</v>
      </c>
      <c r="Y55" s="9" t="n">
        <f aca="false">IF(K55="",4,IF(AND(K55&gt;=Weights!$B$13,K55&lt;=Weights!$B$14),Weights!$B$5,IF(K55&gt;100,15,IF(K55&gt;=20,12,4))))</f>
        <v>4</v>
      </c>
      <c r="Z55" s="10" t="n">
        <f aca="false">IF(OR(Q55="taken",Q55="sold",Q55="ruled-out"),0,MIN(IF(AND(H55="tourist-hotel",O55="none"),Weights!$B$11,100),V55+W55+X55+Y55)+IF(R55="yes",Weights!$B$10,0))</f>
        <v>52</v>
      </c>
      <c r="AA55" s="7" t="s">
        <v>694</v>
      </c>
    </row>
    <row r="56" customFormat="false" ht="23.85" hidden="false" customHeight="false" outlineLevel="0" collapsed="false">
      <c r="A56" s="7" t="n">
        <f aca="false">RANK(Z56,$Z$2:$Z$78)</f>
        <v>63</v>
      </c>
      <c r="B56" s="7" t="s">
        <v>899</v>
      </c>
      <c r="C56" s="7" t="s">
        <v>900</v>
      </c>
      <c r="D56" s="7" t="s">
        <v>96</v>
      </c>
      <c r="E56" s="7" t="s">
        <v>97</v>
      </c>
      <c r="F56" s="7" t="n">
        <v>37</v>
      </c>
      <c r="G56" s="7" t="s">
        <v>688</v>
      </c>
      <c r="H56" s="7" t="s">
        <v>78</v>
      </c>
      <c r="I56" s="7" t="s">
        <v>901</v>
      </c>
      <c r="J56" s="7" t="s">
        <v>690</v>
      </c>
      <c r="K56" s="7"/>
      <c r="L56" s="7" t="s">
        <v>690</v>
      </c>
      <c r="M56" s="8" t="n">
        <v>1600</v>
      </c>
      <c r="N56" s="8" t="n">
        <f aca="false">M56*Weights!$B$12</f>
        <v>72000</v>
      </c>
      <c r="O56" s="7" t="s">
        <v>99</v>
      </c>
      <c r="P56" s="7" t="s">
        <v>691</v>
      </c>
      <c r="Q56" s="7" t="s">
        <v>115</v>
      </c>
      <c r="R56" s="7" t="s">
        <v>102</v>
      </c>
      <c r="S56" s="7" t="n">
        <v>2</v>
      </c>
      <c r="T56" s="7" t="s">
        <v>92</v>
      </c>
      <c r="U56" s="7"/>
      <c r="V56" s="9" t="n">
        <f aca="false">IF(LEFT(E56,2)="SF",IF(F56="",0,Weights!$B$2*MAX(0,MIN(1,(Weights!$B$9-F56)/(Weights!$B$9-Weights!$B$8)))),0)</f>
        <v>8</v>
      </c>
      <c r="W56" s="9" t="n">
        <f aca="false">IF(M56="",5,Weights!$B$3*MAX(0,MIN(1,(Weights!$B$7-M56)/(Weights!$B$7-Weights!$B$6))))</f>
        <v>15</v>
      </c>
      <c r="X56" s="9" t="n">
        <f aca="false">IF(O56="none",0,IF(O56="unknown",5,Weights!$B$4))</f>
        <v>15</v>
      </c>
      <c r="Y56" s="9" t="n">
        <f aca="false">IF(K56="",4,IF(AND(K56&gt;=Weights!$B$13,K56&lt;=Weights!$B$14),Weights!$B$5,IF(K56&gt;100,15,IF(K56&gt;=20,12,4))))</f>
        <v>4</v>
      </c>
      <c r="Z56" s="10" t="n">
        <f aca="false">IF(OR(Q56="taken",Q56="sold",Q56="ruled-out"),0,MIN(IF(AND(H56="tourist-hotel",O56="none"),Weights!$B$11,100),V56+W56+X56+Y56)+IF(R56="yes",Weights!$B$10,0))</f>
        <v>42</v>
      </c>
      <c r="AA56" s="7" t="s">
        <v>694</v>
      </c>
    </row>
    <row r="57" customFormat="false" ht="23.85" hidden="false" customHeight="false" outlineLevel="0" collapsed="false">
      <c r="A57" s="7" t="n">
        <f aca="false">RANK(Z57,$Z$2:$Z$78)</f>
        <v>55</v>
      </c>
      <c r="B57" s="7" t="s">
        <v>902</v>
      </c>
      <c r="C57" s="7" t="s">
        <v>903</v>
      </c>
      <c r="D57" s="7" t="s">
        <v>642</v>
      </c>
      <c r="E57" s="7" t="s">
        <v>127</v>
      </c>
      <c r="F57" s="7" t="n">
        <v>12</v>
      </c>
      <c r="G57" s="7" t="s">
        <v>688</v>
      </c>
      <c r="H57" s="7" t="s">
        <v>78</v>
      </c>
      <c r="I57" s="7" t="s">
        <v>904</v>
      </c>
      <c r="J57" s="7" t="s">
        <v>905</v>
      </c>
      <c r="K57" s="7"/>
      <c r="L57" s="7" t="s">
        <v>906</v>
      </c>
      <c r="M57" s="8" t="n">
        <v>1800</v>
      </c>
      <c r="N57" s="8" t="n">
        <f aca="false">M57*Weights!$B$12</f>
        <v>81000</v>
      </c>
      <c r="O57" s="7" t="s">
        <v>79</v>
      </c>
      <c r="P57" s="7" t="s">
        <v>907</v>
      </c>
      <c r="Q57" s="7" t="s">
        <v>115</v>
      </c>
      <c r="R57" s="7" t="s">
        <v>116</v>
      </c>
      <c r="S57" s="7" t="n">
        <v>2</v>
      </c>
      <c r="T57" s="7" t="s">
        <v>92</v>
      </c>
      <c r="U57" s="7"/>
      <c r="V57" s="9" t="n">
        <f aca="false">IF(LEFT(E57,2)="SF",IF(F57="",0,Weights!$B$2*MAX(0,MIN(1,(Weights!$B$9-F57)/(Weights!$B$9-Weights!$B$8)))),0)</f>
        <v>33</v>
      </c>
      <c r="W57" s="9" t="n">
        <f aca="false">IF(M57="",5,Weights!$B$3*MAX(0,MIN(1,(Weights!$B$7-M57)/(Weights!$B$7-Weights!$B$6))))</f>
        <v>10</v>
      </c>
      <c r="X57" s="9" t="n">
        <f aca="false">IF(O57="none",0,IF(O57="unknown",5,Weights!$B$4))</f>
        <v>0</v>
      </c>
      <c r="Y57" s="9" t="n">
        <f aca="false">IF(K57="",4,IF(AND(K57&gt;=Weights!$B$13,K57&lt;=Weights!$B$14),Weights!$B$5,IF(K57&gt;100,15,IF(K57&gt;=20,12,4))))</f>
        <v>4</v>
      </c>
      <c r="Z57" s="10" t="n">
        <f aca="false">IF(OR(Q57="taken",Q57="sold",Q57="ruled-out"),0,MIN(IF(AND(H57="tourist-hotel",O57="none"),Weights!$B$11,100),V57+W57+X57+Y57)+IF(R57="yes",Weights!$B$10,0))</f>
        <v>45</v>
      </c>
      <c r="AA57" s="7" t="s">
        <v>694</v>
      </c>
    </row>
    <row r="58" customFormat="false" ht="23.85" hidden="false" customHeight="false" outlineLevel="0" collapsed="false">
      <c r="A58" s="7" t="n">
        <f aca="false">RANK(Z58,$Z$2:$Z$78)</f>
        <v>52</v>
      </c>
      <c r="B58" s="7" t="s">
        <v>908</v>
      </c>
      <c r="C58" s="7" t="s">
        <v>909</v>
      </c>
      <c r="D58" s="7" t="s">
        <v>910</v>
      </c>
      <c r="E58" s="7" t="s">
        <v>127</v>
      </c>
      <c r="F58" s="7" t="n">
        <v>26</v>
      </c>
      <c r="G58" s="7" t="s">
        <v>688</v>
      </c>
      <c r="H58" s="7" t="s">
        <v>98</v>
      </c>
      <c r="I58" s="7" t="s">
        <v>911</v>
      </c>
      <c r="J58" s="7" t="s">
        <v>838</v>
      </c>
      <c r="K58" s="7"/>
      <c r="L58" s="7" t="s">
        <v>912</v>
      </c>
      <c r="M58" s="8" t="n">
        <v>1800</v>
      </c>
      <c r="N58" s="8" t="n">
        <f aca="false">M58*Weights!$B$12</f>
        <v>81000</v>
      </c>
      <c r="O58" s="7" t="s">
        <v>99</v>
      </c>
      <c r="P58" s="7" t="s">
        <v>898</v>
      </c>
      <c r="Q58" s="7" t="s">
        <v>115</v>
      </c>
      <c r="R58" s="7" t="s">
        <v>102</v>
      </c>
      <c r="S58" s="7" t="n">
        <v>2</v>
      </c>
      <c r="T58" s="7" t="s">
        <v>92</v>
      </c>
      <c r="U58" s="7"/>
      <c r="V58" s="9" t="n">
        <f aca="false">IF(LEFT(E58,2)="SF",IF(F58="",0,Weights!$B$2*MAX(0,MIN(1,(Weights!$B$9-F58)/(Weights!$B$9-Weights!$B$8)))),0)</f>
        <v>19</v>
      </c>
      <c r="W58" s="9" t="n">
        <f aca="false">IF(M58="",5,Weights!$B$3*MAX(0,MIN(1,(Weights!$B$7-M58)/(Weights!$B$7-Weights!$B$6))))</f>
        <v>10</v>
      </c>
      <c r="X58" s="9" t="n">
        <f aca="false">IF(O58="none",0,IF(O58="unknown",5,Weights!$B$4))</f>
        <v>15</v>
      </c>
      <c r="Y58" s="9" t="n">
        <f aca="false">IF(K58="",4,IF(AND(K58&gt;=Weights!$B$13,K58&lt;=Weights!$B$14),Weights!$B$5,IF(K58&gt;100,15,IF(K58&gt;=20,12,4))))</f>
        <v>4</v>
      </c>
      <c r="Z58" s="10" t="n">
        <f aca="false">IF(OR(Q58="taken",Q58="sold",Q58="ruled-out"),0,MIN(IF(AND(H58="tourist-hotel",O58="none"),Weights!$B$11,100),V58+W58+X58+Y58)+IF(R58="yes",Weights!$B$10,0))</f>
        <v>48</v>
      </c>
      <c r="AA58" s="7" t="s">
        <v>694</v>
      </c>
    </row>
    <row r="59" customFormat="false" ht="23.85" hidden="false" customHeight="false" outlineLevel="0" collapsed="false">
      <c r="A59" s="7" t="n">
        <f aca="false">RANK(Z59,$Z$2:$Z$78)</f>
        <v>44</v>
      </c>
      <c r="B59" s="7" t="s">
        <v>913</v>
      </c>
      <c r="C59" s="7" t="s">
        <v>914</v>
      </c>
      <c r="D59" s="7" t="s">
        <v>642</v>
      </c>
      <c r="E59" s="7" t="s">
        <v>127</v>
      </c>
      <c r="F59" s="7" t="n">
        <v>7</v>
      </c>
      <c r="G59" s="7" t="s">
        <v>688</v>
      </c>
      <c r="H59" s="7" t="s">
        <v>78</v>
      </c>
      <c r="I59" s="7" t="s">
        <v>904</v>
      </c>
      <c r="J59" s="7" t="s">
        <v>915</v>
      </c>
      <c r="K59" s="7"/>
      <c r="L59" s="7" t="s">
        <v>906</v>
      </c>
      <c r="M59" s="8" t="n">
        <v>2000</v>
      </c>
      <c r="N59" s="8" t="n">
        <f aca="false">M59*Weights!$B$12</f>
        <v>90000</v>
      </c>
      <c r="O59" s="7" t="s">
        <v>102</v>
      </c>
      <c r="P59" s="7" t="s">
        <v>916</v>
      </c>
      <c r="Q59" s="7" t="s">
        <v>115</v>
      </c>
      <c r="R59" s="7" t="s">
        <v>116</v>
      </c>
      <c r="S59" s="7" t="n">
        <v>2</v>
      </c>
      <c r="T59" s="7" t="s">
        <v>92</v>
      </c>
      <c r="U59" s="7"/>
      <c r="V59" s="9" t="n">
        <f aca="false">IF(LEFT(E59,2)="SF",IF(F59="",0,Weights!$B$2*MAX(0,MIN(1,(Weights!$B$9-F59)/(Weights!$B$9-Weights!$B$8)))),0)</f>
        <v>35</v>
      </c>
      <c r="W59" s="9" t="n">
        <f aca="false">IF(M59="",5,Weights!$B$3*MAX(0,MIN(1,(Weights!$B$7-M59)/(Weights!$B$7-Weights!$B$6))))</f>
        <v>5</v>
      </c>
      <c r="X59" s="9" t="n">
        <f aca="false">IF(O59="none",0,IF(O59="unknown",5,Weights!$B$4))</f>
        <v>5</v>
      </c>
      <c r="Y59" s="9" t="n">
        <f aca="false">IF(K59="",4,IF(AND(K59&gt;=Weights!$B$13,K59&lt;=Weights!$B$14),Weights!$B$5,IF(K59&gt;100,15,IF(K59&gt;=20,12,4))))</f>
        <v>4</v>
      </c>
      <c r="Z59" s="10" t="n">
        <f aca="false">IF(OR(Q59="taken",Q59="sold",Q59="ruled-out"),0,MIN(IF(AND(H59="tourist-hotel",O59="none"),Weights!$B$11,100),V59+W59+X59+Y59)+IF(R59="yes",Weights!$B$10,0))</f>
        <v>54</v>
      </c>
      <c r="AA59" s="7" t="s">
        <v>694</v>
      </c>
    </row>
    <row r="60" customFormat="false" ht="23.85" hidden="false" customHeight="false" outlineLevel="0" collapsed="false">
      <c r="A60" s="7" t="n">
        <f aca="false">RANK(Z60,$Z$2:$Z$78)</f>
        <v>71</v>
      </c>
      <c r="B60" s="7" t="s">
        <v>917</v>
      </c>
      <c r="C60" s="7" t="s">
        <v>918</v>
      </c>
      <c r="D60" s="7" t="s">
        <v>919</v>
      </c>
      <c r="E60" s="7" t="s">
        <v>368</v>
      </c>
      <c r="F60" s="7" t="n">
        <v>225</v>
      </c>
      <c r="G60" s="7" t="s">
        <v>688</v>
      </c>
      <c r="H60" s="7" t="s">
        <v>78</v>
      </c>
      <c r="I60" s="7" t="s">
        <v>871</v>
      </c>
      <c r="J60" s="7" t="s">
        <v>920</v>
      </c>
      <c r="K60" s="7"/>
      <c r="L60" s="7" t="s">
        <v>921</v>
      </c>
      <c r="M60" s="8" t="n">
        <v>2000</v>
      </c>
      <c r="N60" s="8" t="n">
        <f aca="false">M60*Weights!$B$12</f>
        <v>90000</v>
      </c>
      <c r="O60" s="7" t="s">
        <v>114</v>
      </c>
      <c r="P60" s="7" t="s">
        <v>922</v>
      </c>
      <c r="Q60" s="7" t="s">
        <v>115</v>
      </c>
      <c r="R60" s="7" t="s">
        <v>116</v>
      </c>
      <c r="S60" s="7" t="n">
        <v>2</v>
      </c>
      <c r="T60" s="7" t="s">
        <v>92</v>
      </c>
      <c r="U60" s="7"/>
      <c r="V60" s="9" t="n">
        <f aca="false">IF(LEFT(E60,2)="SF",IF(F60="",0,Weights!$B$2*MAX(0,MIN(1,(Weights!$B$9-F60)/(Weights!$B$9-Weights!$B$8)))),0)</f>
        <v>0</v>
      </c>
      <c r="W60" s="9" t="n">
        <f aca="false">IF(M60="",5,Weights!$B$3*MAX(0,MIN(1,(Weights!$B$7-M60)/(Weights!$B$7-Weights!$B$6))))</f>
        <v>5</v>
      </c>
      <c r="X60" s="9" t="n">
        <f aca="false">IF(O60="none",0,IF(O60="unknown",5,Weights!$B$4))</f>
        <v>15</v>
      </c>
      <c r="Y60" s="9" t="n">
        <f aca="false">IF(K60="",4,IF(AND(K60&gt;=Weights!$B$13,K60&lt;=Weights!$B$14),Weights!$B$5,IF(K60&gt;100,15,IF(K60&gt;=20,12,4))))</f>
        <v>4</v>
      </c>
      <c r="Z60" s="10" t="n">
        <f aca="false">IF(OR(Q60="taken",Q60="sold",Q60="ruled-out"),0,MIN(IF(AND(H60="tourist-hotel",O60="none"),Weights!$B$11,100),V60+W60+X60+Y60)+IF(R60="yes",Weights!$B$10,0))</f>
        <v>29</v>
      </c>
      <c r="AA60" s="7" t="s">
        <v>694</v>
      </c>
    </row>
    <row r="61" customFormat="false" ht="23.85" hidden="false" customHeight="false" outlineLevel="0" collapsed="false">
      <c r="A61" s="7" t="n">
        <f aca="false">RANK(Z61,$Z$2:$Z$78)</f>
        <v>34</v>
      </c>
      <c r="B61" s="7" t="s">
        <v>923</v>
      </c>
      <c r="C61" s="7" t="s">
        <v>924</v>
      </c>
      <c r="D61" s="7" t="s">
        <v>642</v>
      </c>
      <c r="E61" s="7" t="s">
        <v>97</v>
      </c>
      <c r="F61" s="7" t="n">
        <v>5</v>
      </c>
      <c r="G61" s="7" t="s">
        <v>688</v>
      </c>
      <c r="H61" s="7" t="s">
        <v>113</v>
      </c>
      <c r="I61" s="7" t="s">
        <v>925</v>
      </c>
      <c r="J61" s="7" t="s">
        <v>926</v>
      </c>
      <c r="K61" s="7" t="n">
        <v>93</v>
      </c>
      <c r="L61" s="7" t="s">
        <v>927</v>
      </c>
      <c r="M61" s="8" t="n">
        <v>2100</v>
      </c>
      <c r="N61" s="8" t="n">
        <f aca="false">M61*Weights!$B$12</f>
        <v>94500</v>
      </c>
      <c r="O61" s="7" t="s">
        <v>114</v>
      </c>
      <c r="P61" s="7" t="s">
        <v>928</v>
      </c>
      <c r="Q61" s="7" t="s">
        <v>115</v>
      </c>
      <c r="R61" s="7" t="s">
        <v>102</v>
      </c>
      <c r="S61" s="7" t="n">
        <v>2</v>
      </c>
      <c r="T61" s="7" t="s">
        <v>92</v>
      </c>
      <c r="U61" s="7"/>
      <c r="V61" s="9" t="n">
        <f aca="false">IF(LEFT(E61,2)="SF",IF(F61="",0,Weights!$B$2*MAX(0,MIN(1,(Weights!$B$9-F61)/(Weights!$B$9-Weights!$B$8)))),0)</f>
        <v>35</v>
      </c>
      <c r="W61" s="9" t="n">
        <f aca="false">IF(M61="",5,Weights!$B$3*MAX(0,MIN(1,(Weights!$B$7-M61)/(Weights!$B$7-Weights!$B$6))))</f>
        <v>2.5</v>
      </c>
      <c r="X61" s="9" t="n">
        <f aca="false">IF(O61="none",0,IF(O61="unknown",5,Weights!$B$4))</f>
        <v>15</v>
      </c>
      <c r="Y61" s="9" t="n">
        <f aca="false">IF(K61="",4,IF(AND(K61&gt;=Weights!$B$13,K61&lt;=Weights!$B$14),Weights!$B$5,IF(K61&gt;100,15,IF(K61&gt;=20,12,4))))</f>
        <v>12</v>
      </c>
      <c r="Z61" s="10" t="n">
        <f aca="false">IF(OR(Q61="taken",Q61="sold",Q61="ruled-out"),0,MIN(IF(AND(H61="tourist-hotel",O61="none"),Weights!$B$11,100),V61+W61+X61+Y61)+IF(R61="yes",Weights!$B$10,0))</f>
        <v>64.5</v>
      </c>
      <c r="AA61" s="7" t="s">
        <v>694</v>
      </c>
    </row>
    <row r="62" customFormat="false" ht="23.85" hidden="false" customHeight="false" outlineLevel="0" collapsed="false">
      <c r="A62" s="7" t="n">
        <f aca="false">RANK(Z62,$Z$2:$Z$78)</f>
        <v>55</v>
      </c>
      <c r="B62" s="7" t="s">
        <v>929</v>
      </c>
      <c r="C62" s="7" t="s">
        <v>930</v>
      </c>
      <c r="D62" s="7" t="s">
        <v>642</v>
      </c>
      <c r="E62" s="7" t="s">
        <v>127</v>
      </c>
      <c r="F62" s="7" t="n">
        <v>7</v>
      </c>
      <c r="G62" s="7" t="s">
        <v>688</v>
      </c>
      <c r="H62" s="7" t="s">
        <v>78</v>
      </c>
      <c r="I62" s="7" t="s">
        <v>931</v>
      </c>
      <c r="J62" s="7" t="s">
        <v>932</v>
      </c>
      <c r="K62" s="7" t="n">
        <v>50</v>
      </c>
      <c r="L62" s="7" t="s">
        <v>906</v>
      </c>
      <c r="M62" s="8" t="n">
        <v>2200</v>
      </c>
      <c r="N62" s="8" t="n">
        <f aca="false">M62*Weights!$B$12</f>
        <v>99000</v>
      </c>
      <c r="O62" s="7" t="s">
        <v>79</v>
      </c>
      <c r="P62" s="7" t="s">
        <v>907</v>
      </c>
      <c r="Q62" s="7" t="s">
        <v>115</v>
      </c>
      <c r="R62" s="7" t="s">
        <v>116</v>
      </c>
      <c r="S62" s="7" t="n">
        <v>2</v>
      </c>
      <c r="T62" s="7" t="s">
        <v>92</v>
      </c>
      <c r="U62" s="7"/>
      <c r="V62" s="9" t="n">
        <f aca="false">IF(LEFT(E62,2)="SF",IF(F62="",0,Weights!$B$2*MAX(0,MIN(1,(Weights!$B$9-F62)/(Weights!$B$9-Weights!$B$8)))),0)</f>
        <v>35</v>
      </c>
      <c r="W62" s="9" t="n">
        <f aca="false">IF(M62="",5,Weights!$B$3*MAX(0,MIN(1,(Weights!$B$7-M62)/(Weights!$B$7-Weights!$B$6))))</f>
        <v>0</v>
      </c>
      <c r="X62" s="9" t="n">
        <f aca="false">IF(O62="none",0,IF(O62="unknown",5,Weights!$B$4))</f>
        <v>0</v>
      </c>
      <c r="Y62" s="9" t="n">
        <f aca="false">IF(K62="",4,IF(AND(K62&gt;=Weights!$B$13,K62&lt;=Weights!$B$14),Weights!$B$5,IF(K62&gt;100,15,IF(K62&gt;=20,12,4))))</f>
        <v>20</v>
      </c>
      <c r="Z62" s="10" t="n">
        <f aca="false">IF(OR(Q62="taken",Q62="sold",Q62="ruled-out"),0,MIN(IF(AND(H62="tourist-hotel",O62="none"),Weights!$B$11,100),V62+W62+X62+Y62)+IF(R62="yes",Weights!$B$10,0))</f>
        <v>45</v>
      </c>
      <c r="AA62" s="7" t="s">
        <v>694</v>
      </c>
    </row>
    <row r="63" customFormat="false" ht="23.85" hidden="false" customHeight="false" outlineLevel="0" collapsed="false">
      <c r="A63" s="7" t="n">
        <f aca="false">RANK(Z63,$Z$2:$Z$78)</f>
        <v>46</v>
      </c>
      <c r="B63" s="7" t="s">
        <v>933</v>
      </c>
      <c r="C63" s="7" t="s">
        <v>934</v>
      </c>
      <c r="D63" s="7" t="s">
        <v>642</v>
      </c>
      <c r="E63" s="7" t="s">
        <v>127</v>
      </c>
      <c r="F63" s="7" t="n">
        <v>12</v>
      </c>
      <c r="G63" s="7" t="s">
        <v>688</v>
      </c>
      <c r="H63" s="7" t="s">
        <v>179</v>
      </c>
      <c r="I63" s="7" t="s">
        <v>935</v>
      </c>
      <c r="J63" s="7" t="s">
        <v>690</v>
      </c>
      <c r="K63" s="7"/>
      <c r="L63" s="7" t="s">
        <v>936</v>
      </c>
      <c r="M63" s="8" t="n">
        <v>2500</v>
      </c>
      <c r="N63" s="8" t="n">
        <f aca="false">M63*Weights!$B$12</f>
        <v>112500</v>
      </c>
      <c r="O63" s="7" t="s">
        <v>114</v>
      </c>
      <c r="P63" s="7" t="s">
        <v>928</v>
      </c>
      <c r="Q63" s="7" t="s">
        <v>115</v>
      </c>
      <c r="R63" s="7" t="s">
        <v>102</v>
      </c>
      <c r="S63" s="7" t="n">
        <v>2</v>
      </c>
      <c r="T63" s="7" t="s">
        <v>92</v>
      </c>
      <c r="U63" s="7"/>
      <c r="V63" s="9" t="n">
        <f aca="false">IF(LEFT(E63,2)="SF",IF(F63="",0,Weights!$B$2*MAX(0,MIN(1,(Weights!$B$9-F63)/(Weights!$B$9-Weights!$B$8)))),0)</f>
        <v>33</v>
      </c>
      <c r="W63" s="9" t="n">
        <f aca="false">IF(M63="",5,Weights!$B$3*MAX(0,MIN(1,(Weights!$B$7-M63)/(Weights!$B$7-Weights!$B$6))))</f>
        <v>0</v>
      </c>
      <c r="X63" s="9" t="n">
        <f aca="false">IF(O63="none",0,IF(O63="unknown",5,Weights!$B$4))</f>
        <v>15</v>
      </c>
      <c r="Y63" s="9" t="n">
        <f aca="false">IF(K63="",4,IF(AND(K63&gt;=Weights!$B$13,K63&lt;=Weights!$B$14),Weights!$B$5,IF(K63&gt;100,15,IF(K63&gt;=20,12,4))))</f>
        <v>4</v>
      </c>
      <c r="Z63" s="10" t="n">
        <f aca="false">IF(OR(Q63="taken",Q63="sold",Q63="ruled-out"),0,MIN(IF(AND(H63="tourist-hotel",O63="none"),Weights!$B$11,100),V63+W63+X63+Y63)+IF(R63="yes",Weights!$B$10,0))</f>
        <v>52</v>
      </c>
      <c r="AA63" s="7" t="s">
        <v>694</v>
      </c>
    </row>
    <row r="64" customFormat="false" ht="23.85" hidden="false" customHeight="false" outlineLevel="0" collapsed="false">
      <c r="A64" s="7" t="n">
        <f aca="false">RANK(Z64,$Z$2:$Z$78)</f>
        <v>55</v>
      </c>
      <c r="B64" s="7" t="s">
        <v>937</v>
      </c>
      <c r="C64" s="7" t="s">
        <v>938</v>
      </c>
      <c r="D64" s="7" t="s">
        <v>150</v>
      </c>
      <c r="E64" s="7" t="s">
        <v>127</v>
      </c>
      <c r="F64" s="7" t="n">
        <v>19</v>
      </c>
      <c r="G64" s="7" t="s">
        <v>688</v>
      </c>
      <c r="H64" s="7" t="s">
        <v>113</v>
      </c>
      <c r="I64" s="7" t="s">
        <v>939</v>
      </c>
      <c r="J64" s="7" t="s">
        <v>940</v>
      </c>
      <c r="K64" s="7"/>
      <c r="L64" s="7" t="s">
        <v>941</v>
      </c>
      <c r="M64" s="8" t="n">
        <v>2500</v>
      </c>
      <c r="N64" s="8" t="n">
        <f aca="false">M64*Weights!$B$12</f>
        <v>112500</v>
      </c>
      <c r="O64" s="7" t="s">
        <v>114</v>
      </c>
      <c r="P64" s="7" t="s">
        <v>928</v>
      </c>
      <c r="Q64" s="7" t="s">
        <v>115</v>
      </c>
      <c r="R64" s="7" t="s">
        <v>102</v>
      </c>
      <c r="S64" s="7" t="n">
        <v>2</v>
      </c>
      <c r="T64" s="7" t="s">
        <v>92</v>
      </c>
      <c r="U64" s="7"/>
      <c r="V64" s="9" t="n">
        <f aca="false">IF(LEFT(E64,2)="SF",IF(F64="",0,Weights!$B$2*MAX(0,MIN(1,(Weights!$B$9-F64)/(Weights!$B$9-Weights!$B$8)))),0)</f>
        <v>26</v>
      </c>
      <c r="W64" s="9" t="n">
        <f aca="false">IF(M64="",5,Weights!$B$3*MAX(0,MIN(1,(Weights!$B$7-M64)/(Weights!$B$7-Weights!$B$6))))</f>
        <v>0</v>
      </c>
      <c r="X64" s="9" t="n">
        <f aca="false">IF(O64="none",0,IF(O64="unknown",5,Weights!$B$4))</f>
        <v>15</v>
      </c>
      <c r="Y64" s="9" t="n">
        <f aca="false">IF(K64="",4,IF(AND(K64&gt;=Weights!$B$13,K64&lt;=Weights!$B$14),Weights!$B$5,IF(K64&gt;100,15,IF(K64&gt;=20,12,4))))</f>
        <v>4</v>
      </c>
      <c r="Z64" s="10" t="n">
        <f aca="false">IF(OR(Q64="taken",Q64="sold",Q64="ruled-out"),0,MIN(IF(AND(H64="tourist-hotel",O64="none"),Weights!$B$11,100),V64+W64+X64+Y64)+IF(R64="yes",Weights!$B$10,0))</f>
        <v>45</v>
      </c>
      <c r="AA64" s="7" t="s">
        <v>694</v>
      </c>
    </row>
    <row r="65" customFormat="false" ht="23.85" hidden="false" customHeight="false" outlineLevel="0" collapsed="false">
      <c r="A65" s="7" t="n">
        <f aca="false">RANK(Z65,$Z$2:$Z$78)</f>
        <v>44</v>
      </c>
      <c r="B65" s="7" t="s">
        <v>942</v>
      </c>
      <c r="C65" s="7" t="s">
        <v>943</v>
      </c>
      <c r="D65" s="7" t="s">
        <v>722</v>
      </c>
      <c r="E65" s="7" t="s">
        <v>127</v>
      </c>
      <c r="F65" s="7" t="n">
        <v>3</v>
      </c>
      <c r="G65" s="7" t="s">
        <v>688</v>
      </c>
      <c r="H65" s="7" t="s">
        <v>113</v>
      </c>
      <c r="I65" s="7" t="s">
        <v>925</v>
      </c>
      <c r="J65" s="7" t="s">
        <v>944</v>
      </c>
      <c r="K65" s="7"/>
      <c r="L65" s="7" t="s">
        <v>690</v>
      </c>
      <c r="M65" s="8" t="n">
        <v>2600</v>
      </c>
      <c r="N65" s="8" t="n">
        <f aca="false">M65*Weights!$B$12</f>
        <v>117000</v>
      </c>
      <c r="O65" s="7" t="s">
        <v>114</v>
      </c>
      <c r="P65" s="7" t="s">
        <v>928</v>
      </c>
      <c r="Q65" s="7" t="s">
        <v>115</v>
      </c>
      <c r="R65" s="7" t="s">
        <v>102</v>
      </c>
      <c r="S65" s="7" t="n">
        <v>2</v>
      </c>
      <c r="T65" s="7" t="s">
        <v>92</v>
      </c>
      <c r="U65" s="7"/>
      <c r="V65" s="9" t="n">
        <f aca="false">IF(LEFT(E65,2)="SF",IF(F65="",0,Weights!$B$2*MAX(0,MIN(1,(Weights!$B$9-F65)/(Weights!$B$9-Weights!$B$8)))),0)</f>
        <v>35</v>
      </c>
      <c r="W65" s="9" t="n">
        <f aca="false">IF(M65="",5,Weights!$B$3*MAX(0,MIN(1,(Weights!$B$7-M65)/(Weights!$B$7-Weights!$B$6))))</f>
        <v>0</v>
      </c>
      <c r="X65" s="9" t="n">
        <f aca="false">IF(O65="none",0,IF(O65="unknown",5,Weights!$B$4))</f>
        <v>15</v>
      </c>
      <c r="Y65" s="9" t="n">
        <f aca="false">IF(K65="",4,IF(AND(K65&gt;=Weights!$B$13,K65&lt;=Weights!$B$14),Weights!$B$5,IF(K65&gt;100,15,IF(K65&gt;=20,12,4))))</f>
        <v>4</v>
      </c>
      <c r="Z65" s="10" t="n">
        <f aca="false">IF(OR(Q65="taken",Q65="sold",Q65="ruled-out"),0,MIN(IF(AND(H65="tourist-hotel",O65="none"),Weights!$B$11,100),V65+W65+X65+Y65)+IF(R65="yes",Weights!$B$10,0))</f>
        <v>54</v>
      </c>
      <c r="AA65" s="7" t="s">
        <v>694</v>
      </c>
    </row>
    <row r="66" customFormat="false" ht="23.85" hidden="false" customHeight="false" outlineLevel="0" collapsed="false">
      <c r="A66" s="7" t="n">
        <f aca="false">RANK(Z66,$Z$2:$Z$78)</f>
        <v>55</v>
      </c>
      <c r="B66" s="7" t="s">
        <v>945</v>
      </c>
      <c r="C66" s="7" t="s">
        <v>946</v>
      </c>
      <c r="D66" s="7" t="s">
        <v>150</v>
      </c>
      <c r="E66" s="7" t="s">
        <v>127</v>
      </c>
      <c r="F66" s="7" t="n">
        <v>19</v>
      </c>
      <c r="G66" s="7" t="s">
        <v>688</v>
      </c>
      <c r="H66" s="7" t="s">
        <v>113</v>
      </c>
      <c r="I66" s="7" t="s">
        <v>702</v>
      </c>
      <c r="J66" s="7" t="s">
        <v>690</v>
      </c>
      <c r="K66" s="7"/>
      <c r="L66" s="7" t="s">
        <v>947</v>
      </c>
      <c r="M66" s="8" t="n">
        <v>2600</v>
      </c>
      <c r="N66" s="8" t="n">
        <f aca="false">M66*Weights!$B$12</f>
        <v>117000</v>
      </c>
      <c r="O66" s="7" t="s">
        <v>114</v>
      </c>
      <c r="P66" s="7" t="s">
        <v>928</v>
      </c>
      <c r="Q66" s="7" t="s">
        <v>115</v>
      </c>
      <c r="R66" s="7" t="s">
        <v>102</v>
      </c>
      <c r="S66" s="7" t="n">
        <v>2</v>
      </c>
      <c r="T66" s="7" t="s">
        <v>92</v>
      </c>
      <c r="U66" s="7"/>
      <c r="V66" s="9" t="n">
        <f aca="false">IF(LEFT(E66,2)="SF",IF(F66="",0,Weights!$B$2*MAX(0,MIN(1,(Weights!$B$9-F66)/(Weights!$B$9-Weights!$B$8)))),0)</f>
        <v>26</v>
      </c>
      <c r="W66" s="9" t="n">
        <f aca="false">IF(M66="",5,Weights!$B$3*MAX(0,MIN(1,(Weights!$B$7-M66)/(Weights!$B$7-Weights!$B$6))))</f>
        <v>0</v>
      </c>
      <c r="X66" s="9" t="n">
        <f aca="false">IF(O66="none",0,IF(O66="unknown",5,Weights!$B$4))</f>
        <v>15</v>
      </c>
      <c r="Y66" s="9" t="n">
        <f aca="false">IF(K66="",4,IF(AND(K66&gt;=Weights!$B$13,K66&lt;=Weights!$B$14),Weights!$B$5,IF(K66&gt;100,15,IF(K66&gt;=20,12,4))))</f>
        <v>4</v>
      </c>
      <c r="Z66" s="10" t="n">
        <f aca="false">IF(OR(Q66="taken",Q66="sold",Q66="ruled-out"),0,MIN(IF(AND(H66="tourist-hotel",O66="none"),Weights!$B$11,100),V66+W66+X66+Y66)+IF(R66="yes",Weights!$B$10,0))</f>
        <v>45</v>
      </c>
      <c r="AA66" s="7" t="s">
        <v>694</v>
      </c>
    </row>
    <row r="67" customFormat="false" ht="23.85" hidden="false" customHeight="false" outlineLevel="0" collapsed="false">
      <c r="A67" s="7" t="n">
        <f aca="false">RANK(Z67,$Z$2:$Z$78)</f>
        <v>60</v>
      </c>
      <c r="B67" s="7" t="s">
        <v>948</v>
      </c>
      <c r="C67" s="7" t="s">
        <v>949</v>
      </c>
      <c r="D67" s="7" t="s">
        <v>150</v>
      </c>
      <c r="E67" s="7" t="s">
        <v>127</v>
      </c>
      <c r="F67" s="7" t="n">
        <v>20</v>
      </c>
      <c r="G67" s="7" t="s">
        <v>688</v>
      </c>
      <c r="H67" s="7" t="s">
        <v>113</v>
      </c>
      <c r="I67" s="7" t="s">
        <v>702</v>
      </c>
      <c r="J67" s="7" t="s">
        <v>950</v>
      </c>
      <c r="K67" s="7"/>
      <c r="L67" s="7" t="s">
        <v>947</v>
      </c>
      <c r="M67" s="8" t="n">
        <v>2700</v>
      </c>
      <c r="N67" s="8" t="n">
        <f aca="false">M67*Weights!$B$12</f>
        <v>121500</v>
      </c>
      <c r="O67" s="7" t="s">
        <v>114</v>
      </c>
      <c r="P67" s="7" t="s">
        <v>928</v>
      </c>
      <c r="Q67" s="7" t="s">
        <v>115</v>
      </c>
      <c r="R67" s="7" t="s">
        <v>102</v>
      </c>
      <c r="S67" s="7" t="n">
        <v>2</v>
      </c>
      <c r="T67" s="7" t="s">
        <v>92</v>
      </c>
      <c r="U67" s="7"/>
      <c r="V67" s="9" t="n">
        <f aca="false">IF(LEFT(E67,2)="SF",IF(F67="",0,Weights!$B$2*MAX(0,MIN(1,(Weights!$B$9-F67)/(Weights!$B$9-Weights!$B$8)))),0)</f>
        <v>25</v>
      </c>
      <c r="W67" s="9" t="n">
        <f aca="false">IF(M67="",5,Weights!$B$3*MAX(0,MIN(1,(Weights!$B$7-M67)/(Weights!$B$7-Weights!$B$6))))</f>
        <v>0</v>
      </c>
      <c r="X67" s="9" t="n">
        <f aca="false">IF(O67="none",0,IF(O67="unknown",5,Weights!$B$4))</f>
        <v>15</v>
      </c>
      <c r="Y67" s="9" t="n">
        <f aca="false">IF(K67="",4,IF(AND(K67&gt;=Weights!$B$13,K67&lt;=Weights!$B$14),Weights!$B$5,IF(K67&gt;100,15,IF(K67&gt;=20,12,4))))</f>
        <v>4</v>
      </c>
      <c r="Z67" s="10" t="n">
        <f aca="false">IF(OR(Q67="taken",Q67="sold",Q67="ruled-out"),0,MIN(IF(AND(H67="tourist-hotel",O67="none"),Weights!$B$11,100),V67+W67+X67+Y67)+IF(R67="yes",Weights!$B$10,0))</f>
        <v>44</v>
      </c>
      <c r="AA67" s="7" t="s">
        <v>694</v>
      </c>
    </row>
    <row r="68" customFormat="false" ht="23.85" hidden="false" customHeight="false" outlineLevel="0" collapsed="false">
      <c r="A68" s="7" t="n">
        <f aca="false">RANK(Z68,$Z$2:$Z$78)</f>
        <v>74</v>
      </c>
      <c r="B68" s="7" t="s">
        <v>951</v>
      </c>
      <c r="C68" s="7" t="s">
        <v>952</v>
      </c>
      <c r="D68" s="7" t="s">
        <v>567</v>
      </c>
      <c r="E68" s="7" t="s">
        <v>97</v>
      </c>
      <c r="F68" s="7" t="n">
        <v>54</v>
      </c>
      <c r="G68" s="7" t="s">
        <v>688</v>
      </c>
      <c r="H68" s="7" t="s">
        <v>113</v>
      </c>
      <c r="I68" s="7" t="s">
        <v>702</v>
      </c>
      <c r="J68" s="7" t="s">
        <v>690</v>
      </c>
      <c r="K68" s="7"/>
      <c r="L68" s="7" t="s">
        <v>947</v>
      </c>
      <c r="M68" s="8" t="n">
        <v>3000</v>
      </c>
      <c r="N68" s="8" t="n">
        <f aca="false">M68*Weights!$B$12</f>
        <v>135000</v>
      </c>
      <c r="O68" s="7" t="s">
        <v>114</v>
      </c>
      <c r="P68" s="7" t="s">
        <v>928</v>
      </c>
      <c r="Q68" s="7" t="s">
        <v>115</v>
      </c>
      <c r="R68" s="7" t="s">
        <v>102</v>
      </c>
      <c r="S68" s="7" t="n">
        <v>2</v>
      </c>
      <c r="T68" s="7" t="s">
        <v>92</v>
      </c>
      <c r="U68" s="7"/>
      <c r="V68" s="9" t="n">
        <f aca="false">IF(LEFT(E68,2)="SF",IF(F68="",0,Weights!$B$2*MAX(0,MIN(1,(Weights!$B$9-F68)/(Weights!$B$9-Weights!$B$8)))),0)</f>
        <v>0</v>
      </c>
      <c r="W68" s="9" t="n">
        <f aca="false">IF(M68="",5,Weights!$B$3*MAX(0,MIN(1,(Weights!$B$7-M68)/(Weights!$B$7-Weights!$B$6))))</f>
        <v>0</v>
      </c>
      <c r="X68" s="9" t="n">
        <f aca="false">IF(O68="none",0,IF(O68="unknown",5,Weights!$B$4))</f>
        <v>15</v>
      </c>
      <c r="Y68" s="9" t="n">
        <f aca="false">IF(K68="",4,IF(AND(K68&gt;=Weights!$B$13,K68&lt;=Weights!$B$14),Weights!$B$5,IF(K68&gt;100,15,IF(K68&gt;=20,12,4))))</f>
        <v>4</v>
      </c>
      <c r="Z68" s="10" t="n">
        <f aca="false">IF(OR(Q68="taken",Q68="sold",Q68="ruled-out"),0,MIN(IF(AND(H68="tourist-hotel",O68="none"),Weights!$B$11,100),V68+W68+X68+Y68)+IF(R68="yes",Weights!$B$10,0))</f>
        <v>19</v>
      </c>
      <c r="AA68" s="7" t="s">
        <v>694</v>
      </c>
    </row>
    <row r="69" customFormat="false" ht="23.85" hidden="false" customHeight="false" outlineLevel="0" collapsed="false">
      <c r="A69" s="7" t="n">
        <f aca="false">RANK(Z69,$Z$2:$Z$78)</f>
        <v>73</v>
      </c>
      <c r="B69" s="7" t="s">
        <v>953</v>
      </c>
      <c r="C69" s="7" t="s">
        <v>954</v>
      </c>
      <c r="D69" s="7" t="s">
        <v>955</v>
      </c>
      <c r="E69" s="7" t="s">
        <v>97</v>
      </c>
      <c r="F69" s="7" t="n">
        <v>44</v>
      </c>
      <c r="G69" s="7" t="s">
        <v>688</v>
      </c>
      <c r="H69" s="7" t="s">
        <v>113</v>
      </c>
      <c r="I69" s="7" t="s">
        <v>702</v>
      </c>
      <c r="J69" s="7" t="s">
        <v>956</v>
      </c>
      <c r="K69" s="7"/>
      <c r="L69" s="7" t="s">
        <v>947</v>
      </c>
      <c r="M69" s="8" t="n">
        <v>3000</v>
      </c>
      <c r="N69" s="8" t="n">
        <f aca="false">M69*Weights!$B$12</f>
        <v>135000</v>
      </c>
      <c r="O69" s="7" t="s">
        <v>114</v>
      </c>
      <c r="P69" s="7" t="s">
        <v>928</v>
      </c>
      <c r="Q69" s="7" t="s">
        <v>115</v>
      </c>
      <c r="R69" s="7" t="s">
        <v>102</v>
      </c>
      <c r="S69" s="7" t="n">
        <v>2</v>
      </c>
      <c r="T69" s="7" t="s">
        <v>92</v>
      </c>
      <c r="U69" s="7"/>
      <c r="V69" s="9" t="n">
        <f aca="false">IF(LEFT(E69,2)="SF",IF(F69="",0,Weights!$B$2*MAX(0,MIN(1,(Weights!$B$9-F69)/(Weights!$B$9-Weights!$B$8)))),0)</f>
        <v>1</v>
      </c>
      <c r="W69" s="9" t="n">
        <f aca="false">IF(M69="",5,Weights!$B$3*MAX(0,MIN(1,(Weights!$B$7-M69)/(Weights!$B$7-Weights!$B$6))))</f>
        <v>0</v>
      </c>
      <c r="X69" s="9" t="n">
        <f aca="false">IF(O69="none",0,IF(O69="unknown",5,Weights!$B$4))</f>
        <v>15</v>
      </c>
      <c r="Y69" s="9" t="n">
        <f aca="false">IF(K69="",4,IF(AND(K69&gt;=Weights!$B$13,K69&lt;=Weights!$B$14),Weights!$B$5,IF(K69&gt;100,15,IF(K69&gt;=20,12,4))))</f>
        <v>4</v>
      </c>
      <c r="Z69" s="10" t="n">
        <f aca="false">IF(OR(Q69="taken",Q69="sold",Q69="ruled-out"),0,MIN(IF(AND(H69="tourist-hotel",O69="none"),Weights!$B$11,100),V69+W69+X69+Y69)+IF(R69="yes",Weights!$B$10,0))</f>
        <v>20</v>
      </c>
      <c r="AA69" s="7" t="s">
        <v>694</v>
      </c>
    </row>
    <row r="70" customFormat="false" ht="23.85" hidden="false" customHeight="false" outlineLevel="0" collapsed="false">
      <c r="A70" s="7" t="n">
        <f aca="false">RANK(Z70,$Z$2:$Z$78)</f>
        <v>72</v>
      </c>
      <c r="B70" s="7" t="s">
        <v>957</v>
      </c>
      <c r="C70" s="7" t="s">
        <v>958</v>
      </c>
      <c r="D70" s="7" t="s">
        <v>959</v>
      </c>
      <c r="E70" s="7" t="s">
        <v>97</v>
      </c>
      <c r="F70" s="7" t="n">
        <v>45</v>
      </c>
      <c r="G70" s="7" t="s">
        <v>688</v>
      </c>
      <c r="H70" s="7" t="s">
        <v>78</v>
      </c>
      <c r="I70" s="7" t="s">
        <v>960</v>
      </c>
      <c r="J70" s="7" t="s">
        <v>961</v>
      </c>
      <c r="K70" s="7"/>
      <c r="L70" s="7" t="s">
        <v>906</v>
      </c>
      <c r="M70" s="8" t="n">
        <v>3000</v>
      </c>
      <c r="N70" s="8" t="n">
        <f aca="false">M70*Weights!$B$12</f>
        <v>135000</v>
      </c>
      <c r="O70" s="7" t="s">
        <v>114</v>
      </c>
      <c r="P70" s="7" t="s">
        <v>922</v>
      </c>
      <c r="Q70" s="7" t="s">
        <v>115</v>
      </c>
      <c r="R70" s="7" t="s">
        <v>116</v>
      </c>
      <c r="S70" s="7" t="n">
        <v>2</v>
      </c>
      <c r="T70" s="7" t="s">
        <v>92</v>
      </c>
      <c r="U70" s="7"/>
      <c r="V70" s="9" t="n">
        <f aca="false">IF(LEFT(E70,2)="SF",IF(F70="",0,Weights!$B$2*MAX(0,MIN(1,(Weights!$B$9-F70)/(Weights!$B$9-Weights!$B$8)))),0)</f>
        <v>0</v>
      </c>
      <c r="W70" s="9" t="n">
        <f aca="false">IF(M70="",5,Weights!$B$3*MAX(0,MIN(1,(Weights!$B$7-M70)/(Weights!$B$7-Weights!$B$6))))</f>
        <v>0</v>
      </c>
      <c r="X70" s="9" t="n">
        <f aca="false">IF(O70="none",0,IF(O70="unknown",5,Weights!$B$4))</f>
        <v>15</v>
      </c>
      <c r="Y70" s="9" t="n">
        <f aca="false">IF(K70="",4,IF(AND(K70&gt;=Weights!$B$13,K70&lt;=Weights!$B$14),Weights!$B$5,IF(K70&gt;100,15,IF(K70&gt;=20,12,4))))</f>
        <v>4</v>
      </c>
      <c r="Z70" s="10" t="n">
        <f aca="false">IF(OR(Q70="taken",Q70="sold",Q70="ruled-out"),0,MIN(IF(AND(H70="tourist-hotel",O70="none"),Weights!$B$11,100),V70+W70+X70+Y70)+IF(R70="yes",Weights!$B$10,0))</f>
        <v>24</v>
      </c>
      <c r="AA70" s="7" t="s">
        <v>694</v>
      </c>
    </row>
    <row r="71" customFormat="false" ht="23.85" hidden="false" customHeight="false" outlineLevel="0" collapsed="false">
      <c r="A71" s="7" t="n">
        <f aca="false">RANK(Z71,$Z$2:$Z$78)</f>
        <v>74</v>
      </c>
      <c r="B71" s="7" t="s">
        <v>962</v>
      </c>
      <c r="C71" s="7" t="s">
        <v>963</v>
      </c>
      <c r="D71" s="7" t="s">
        <v>955</v>
      </c>
      <c r="E71" s="7" t="s">
        <v>97</v>
      </c>
      <c r="F71" s="7" t="n">
        <v>56</v>
      </c>
      <c r="G71" s="7" t="s">
        <v>688</v>
      </c>
      <c r="H71" s="7" t="s">
        <v>113</v>
      </c>
      <c r="I71" s="7" t="s">
        <v>702</v>
      </c>
      <c r="J71" s="7" t="s">
        <v>964</v>
      </c>
      <c r="K71" s="7"/>
      <c r="L71" s="7" t="s">
        <v>947</v>
      </c>
      <c r="M71" s="8" t="n">
        <v>3100</v>
      </c>
      <c r="N71" s="8" t="n">
        <f aca="false">M71*Weights!$B$12</f>
        <v>139500</v>
      </c>
      <c r="O71" s="7" t="s">
        <v>114</v>
      </c>
      <c r="P71" s="7" t="s">
        <v>928</v>
      </c>
      <c r="Q71" s="7" t="s">
        <v>115</v>
      </c>
      <c r="R71" s="7" t="s">
        <v>102</v>
      </c>
      <c r="S71" s="7" t="n">
        <v>2</v>
      </c>
      <c r="T71" s="7" t="s">
        <v>92</v>
      </c>
      <c r="U71" s="7"/>
      <c r="V71" s="9" t="n">
        <f aca="false">IF(LEFT(E71,2)="SF",IF(F71="",0,Weights!$B$2*MAX(0,MIN(1,(Weights!$B$9-F71)/(Weights!$B$9-Weights!$B$8)))),0)</f>
        <v>0</v>
      </c>
      <c r="W71" s="9" t="n">
        <f aca="false">IF(M71="",5,Weights!$B$3*MAX(0,MIN(1,(Weights!$B$7-M71)/(Weights!$B$7-Weights!$B$6))))</f>
        <v>0</v>
      </c>
      <c r="X71" s="9" t="n">
        <f aca="false">IF(O71="none",0,IF(O71="unknown",5,Weights!$B$4))</f>
        <v>15</v>
      </c>
      <c r="Y71" s="9" t="n">
        <f aca="false">IF(K71="",4,IF(AND(K71&gt;=Weights!$B$13,K71&lt;=Weights!$B$14),Weights!$B$5,IF(K71&gt;100,15,IF(K71&gt;=20,12,4))))</f>
        <v>4</v>
      </c>
      <c r="Z71" s="10" t="n">
        <f aca="false">IF(OR(Q71="taken",Q71="sold",Q71="ruled-out"),0,MIN(IF(AND(H71="tourist-hotel",O71="none"),Weights!$B$11,100),V71+W71+X71+Y71)+IF(R71="yes",Weights!$B$10,0))</f>
        <v>19</v>
      </c>
      <c r="AA71" s="7" t="s">
        <v>694</v>
      </c>
    </row>
    <row r="72" customFormat="false" ht="23.85" hidden="false" customHeight="false" outlineLevel="0" collapsed="false">
      <c r="A72" s="7" t="n">
        <f aca="false">RANK(Z72,$Z$2:$Z$78)</f>
        <v>49</v>
      </c>
      <c r="B72" s="7" t="s">
        <v>965</v>
      </c>
      <c r="C72" s="7" t="s">
        <v>966</v>
      </c>
      <c r="D72" s="7" t="s">
        <v>150</v>
      </c>
      <c r="E72" s="7" t="s">
        <v>127</v>
      </c>
      <c r="F72" s="7" t="n">
        <v>15</v>
      </c>
      <c r="G72" s="7" t="s">
        <v>688</v>
      </c>
      <c r="H72" s="7" t="s">
        <v>113</v>
      </c>
      <c r="I72" s="7" t="s">
        <v>967</v>
      </c>
      <c r="J72" s="7" t="s">
        <v>968</v>
      </c>
      <c r="K72" s="7"/>
      <c r="L72" s="7" t="s">
        <v>969</v>
      </c>
      <c r="M72" s="8" t="n">
        <v>3200</v>
      </c>
      <c r="N72" s="8" t="n">
        <f aca="false">M72*Weights!$B$12</f>
        <v>144000</v>
      </c>
      <c r="O72" s="7" t="s">
        <v>114</v>
      </c>
      <c r="P72" s="7" t="s">
        <v>928</v>
      </c>
      <c r="Q72" s="7" t="s">
        <v>115</v>
      </c>
      <c r="R72" s="7" t="s">
        <v>102</v>
      </c>
      <c r="S72" s="7" t="n">
        <v>2</v>
      </c>
      <c r="T72" s="7" t="s">
        <v>92</v>
      </c>
      <c r="U72" s="7"/>
      <c r="V72" s="9" t="n">
        <f aca="false">IF(LEFT(E72,2)="SF",IF(F72="",0,Weights!$B$2*MAX(0,MIN(1,(Weights!$B$9-F72)/(Weights!$B$9-Weights!$B$8)))),0)</f>
        <v>30</v>
      </c>
      <c r="W72" s="9" t="n">
        <f aca="false">IF(M72="",5,Weights!$B$3*MAX(0,MIN(1,(Weights!$B$7-M72)/(Weights!$B$7-Weights!$B$6))))</f>
        <v>0</v>
      </c>
      <c r="X72" s="9" t="n">
        <f aca="false">IF(O72="none",0,IF(O72="unknown",5,Weights!$B$4))</f>
        <v>15</v>
      </c>
      <c r="Y72" s="9" t="n">
        <f aca="false">IF(K72="",4,IF(AND(K72&gt;=Weights!$B$13,K72&lt;=Weights!$B$14),Weights!$B$5,IF(K72&gt;100,15,IF(K72&gt;=20,12,4))))</f>
        <v>4</v>
      </c>
      <c r="Z72" s="10" t="n">
        <f aca="false">IF(OR(Q72="taken",Q72="sold",Q72="ruled-out"),0,MIN(IF(AND(H72="tourist-hotel",O72="none"),Weights!$B$11,100),V72+W72+X72+Y72)+IF(R72="yes",Weights!$B$10,0))</f>
        <v>49</v>
      </c>
      <c r="AA72" s="7" t="s">
        <v>694</v>
      </c>
    </row>
    <row r="73" customFormat="false" ht="23.85" hidden="false" customHeight="false" outlineLevel="0" collapsed="false">
      <c r="A73" s="7" t="n">
        <f aca="false">RANK(Z73,$Z$2:$Z$78)</f>
        <v>54</v>
      </c>
      <c r="B73" s="7" t="s">
        <v>970</v>
      </c>
      <c r="C73" s="7" t="s">
        <v>971</v>
      </c>
      <c r="D73" s="7" t="s">
        <v>642</v>
      </c>
      <c r="E73" s="7" t="s">
        <v>127</v>
      </c>
      <c r="F73" s="7" t="n">
        <v>18</v>
      </c>
      <c r="G73" s="7" t="s">
        <v>688</v>
      </c>
      <c r="H73" s="7" t="s">
        <v>113</v>
      </c>
      <c r="I73" s="7" t="s">
        <v>939</v>
      </c>
      <c r="J73" s="7" t="s">
        <v>972</v>
      </c>
      <c r="K73" s="7"/>
      <c r="L73" s="7" t="s">
        <v>973</v>
      </c>
      <c r="M73" s="8" t="n">
        <v>3200</v>
      </c>
      <c r="N73" s="8" t="n">
        <f aca="false">M73*Weights!$B$12</f>
        <v>144000</v>
      </c>
      <c r="O73" s="7" t="s">
        <v>114</v>
      </c>
      <c r="P73" s="7" t="s">
        <v>928</v>
      </c>
      <c r="Q73" s="7" t="s">
        <v>115</v>
      </c>
      <c r="R73" s="7" t="s">
        <v>102</v>
      </c>
      <c r="S73" s="7" t="n">
        <v>2</v>
      </c>
      <c r="T73" s="7" t="s">
        <v>92</v>
      </c>
      <c r="U73" s="7"/>
      <c r="V73" s="9" t="n">
        <f aca="false">IF(LEFT(E73,2)="SF",IF(F73="",0,Weights!$B$2*MAX(0,MIN(1,(Weights!$B$9-F73)/(Weights!$B$9-Weights!$B$8)))),0)</f>
        <v>27</v>
      </c>
      <c r="W73" s="9" t="n">
        <f aca="false">IF(M73="",5,Weights!$B$3*MAX(0,MIN(1,(Weights!$B$7-M73)/(Weights!$B$7-Weights!$B$6))))</f>
        <v>0</v>
      </c>
      <c r="X73" s="9" t="n">
        <f aca="false">IF(O73="none",0,IF(O73="unknown",5,Weights!$B$4))</f>
        <v>15</v>
      </c>
      <c r="Y73" s="9" t="n">
        <f aca="false">IF(K73="",4,IF(AND(K73&gt;=Weights!$B$13,K73&lt;=Weights!$B$14),Weights!$B$5,IF(K73&gt;100,15,IF(K73&gt;=20,12,4))))</f>
        <v>4</v>
      </c>
      <c r="Z73" s="10" t="n">
        <f aca="false">IF(OR(Q73="taken",Q73="sold",Q73="ruled-out"),0,MIN(IF(AND(H73="tourist-hotel",O73="none"),Weights!$B$11,100),V73+W73+X73+Y73)+IF(R73="yes",Weights!$B$10,0))</f>
        <v>46</v>
      </c>
      <c r="AA73" s="7" t="s">
        <v>694</v>
      </c>
    </row>
    <row r="74" customFormat="false" ht="23.85" hidden="false" customHeight="false" outlineLevel="0" collapsed="false">
      <c r="A74" s="7" t="n">
        <f aca="false">RANK(Z74,$Z$2:$Z$78)</f>
        <v>74</v>
      </c>
      <c r="B74" s="7" t="s">
        <v>974</v>
      </c>
      <c r="C74" s="7" t="s">
        <v>975</v>
      </c>
      <c r="D74" s="7" t="s">
        <v>955</v>
      </c>
      <c r="E74" s="7" t="s">
        <v>97</v>
      </c>
      <c r="F74" s="7" t="n">
        <v>49</v>
      </c>
      <c r="G74" s="7" t="s">
        <v>688</v>
      </c>
      <c r="H74" s="7" t="s">
        <v>113</v>
      </c>
      <c r="I74" s="7" t="s">
        <v>976</v>
      </c>
      <c r="J74" s="7" t="s">
        <v>690</v>
      </c>
      <c r="K74" s="7"/>
      <c r="L74" s="7" t="s">
        <v>947</v>
      </c>
      <c r="M74" s="8" t="n">
        <v>3200</v>
      </c>
      <c r="N74" s="8" t="n">
        <f aca="false">M74*Weights!$B$12</f>
        <v>144000</v>
      </c>
      <c r="O74" s="7" t="s">
        <v>114</v>
      </c>
      <c r="P74" s="7" t="s">
        <v>928</v>
      </c>
      <c r="Q74" s="7" t="s">
        <v>115</v>
      </c>
      <c r="R74" s="7" t="s">
        <v>102</v>
      </c>
      <c r="S74" s="7" t="n">
        <v>2</v>
      </c>
      <c r="T74" s="7" t="s">
        <v>92</v>
      </c>
      <c r="U74" s="7"/>
      <c r="V74" s="9" t="n">
        <f aca="false">IF(LEFT(E74,2)="SF",IF(F74="",0,Weights!$B$2*MAX(0,MIN(1,(Weights!$B$9-F74)/(Weights!$B$9-Weights!$B$8)))),0)</f>
        <v>0</v>
      </c>
      <c r="W74" s="9" t="n">
        <f aca="false">IF(M74="",5,Weights!$B$3*MAX(0,MIN(1,(Weights!$B$7-M74)/(Weights!$B$7-Weights!$B$6))))</f>
        <v>0</v>
      </c>
      <c r="X74" s="9" t="n">
        <f aca="false">IF(O74="none",0,IF(O74="unknown",5,Weights!$B$4))</f>
        <v>15</v>
      </c>
      <c r="Y74" s="9" t="n">
        <f aca="false">IF(K74="",4,IF(AND(K74&gt;=Weights!$B$13,K74&lt;=Weights!$B$14),Weights!$B$5,IF(K74&gt;100,15,IF(K74&gt;=20,12,4))))</f>
        <v>4</v>
      </c>
      <c r="Z74" s="10" t="n">
        <f aca="false">IF(OR(Q74="taken",Q74="sold",Q74="ruled-out"),0,MIN(IF(AND(H74="tourist-hotel",O74="none"),Weights!$B$11,100),V74+W74+X74+Y74)+IF(R74="yes",Weights!$B$10,0))</f>
        <v>19</v>
      </c>
      <c r="AA74" s="7" t="s">
        <v>694</v>
      </c>
    </row>
    <row r="75" customFormat="false" ht="23.85" hidden="false" customHeight="false" outlineLevel="0" collapsed="false">
      <c r="A75" s="7" t="n">
        <f aca="false">RANK(Z75,$Z$2:$Z$78)</f>
        <v>69</v>
      </c>
      <c r="B75" s="7" t="s">
        <v>977</v>
      </c>
      <c r="C75" s="7" t="s">
        <v>978</v>
      </c>
      <c r="D75" s="7" t="s">
        <v>846</v>
      </c>
      <c r="E75" s="7" t="s">
        <v>97</v>
      </c>
      <c r="F75" s="7" t="n">
        <v>26</v>
      </c>
      <c r="G75" s="7" t="s">
        <v>688</v>
      </c>
      <c r="H75" s="7" t="s">
        <v>113</v>
      </c>
      <c r="I75" s="7" t="s">
        <v>967</v>
      </c>
      <c r="J75" s="7" t="s">
        <v>979</v>
      </c>
      <c r="K75" s="7"/>
      <c r="L75" s="7" t="s">
        <v>969</v>
      </c>
      <c r="M75" s="8" t="n">
        <v>3300</v>
      </c>
      <c r="N75" s="8" t="n">
        <f aca="false">M75*Weights!$B$12</f>
        <v>148500</v>
      </c>
      <c r="O75" s="7" t="s">
        <v>114</v>
      </c>
      <c r="P75" s="7" t="s">
        <v>928</v>
      </c>
      <c r="Q75" s="7" t="s">
        <v>115</v>
      </c>
      <c r="R75" s="7" t="s">
        <v>102</v>
      </c>
      <c r="S75" s="7" t="n">
        <v>2</v>
      </c>
      <c r="T75" s="7" t="s">
        <v>92</v>
      </c>
      <c r="U75" s="7"/>
      <c r="V75" s="9" t="n">
        <f aca="false">IF(LEFT(E75,2)="SF",IF(F75="",0,Weights!$B$2*MAX(0,MIN(1,(Weights!$B$9-F75)/(Weights!$B$9-Weights!$B$8)))),0)</f>
        <v>19</v>
      </c>
      <c r="W75" s="9" t="n">
        <f aca="false">IF(M75="",5,Weights!$B$3*MAX(0,MIN(1,(Weights!$B$7-M75)/(Weights!$B$7-Weights!$B$6))))</f>
        <v>0</v>
      </c>
      <c r="X75" s="9" t="n">
        <f aca="false">IF(O75="none",0,IF(O75="unknown",5,Weights!$B$4))</f>
        <v>15</v>
      </c>
      <c r="Y75" s="9" t="n">
        <f aca="false">IF(K75="",4,IF(AND(K75&gt;=Weights!$B$13,K75&lt;=Weights!$B$14),Weights!$B$5,IF(K75&gt;100,15,IF(K75&gt;=20,12,4))))</f>
        <v>4</v>
      </c>
      <c r="Z75" s="10" t="n">
        <f aca="false">IF(OR(Q75="taken",Q75="sold",Q75="ruled-out"),0,MIN(IF(AND(H75="tourist-hotel",O75="none"),Weights!$B$11,100),V75+W75+X75+Y75)+IF(R75="yes",Weights!$B$10,0))</f>
        <v>38</v>
      </c>
      <c r="AA75" s="7" t="s">
        <v>694</v>
      </c>
    </row>
    <row r="76" customFormat="false" ht="23.85" hidden="false" customHeight="false" outlineLevel="0" collapsed="false">
      <c r="A76" s="7" t="n">
        <f aca="false">RANK(Z76,$Z$2:$Z$78)</f>
        <v>52</v>
      </c>
      <c r="B76" s="7" t="s">
        <v>980</v>
      </c>
      <c r="C76" s="7" t="s">
        <v>981</v>
      </c>
      <c r="D76" s="7" t="s">
        <v>642</v>
      </c>
      <c r="E76" s="7" t="s">
        <v>127</v>
      </c>
      <c r="F76" s="7" t="n">
        <v>16</v>
      </c>
      <c r="G76" s="7" t="s">
        <v>688</v>
      </c>
      <c r="H76" s="7" t="s">
        <v>113</v>
      </c>
      <c r="I76" s="7" t="s">
        <v>939</v>
      </c>
      <c r="J76" s="7" t="s">
        <v>972</v>
      </c>
      <c r="K76" s="7"/>
      <c r="L76" s="7" t="s">
        <v>982</v>
      </c>
      <c r="M76" s="8" t="n">
        <v>3500</v>
      </c>
      <c r="N76" s="8" t="n">
        <f aca="false">M76*Weights!$B$12</f>
        <v>157500</v>
      </c>
      <c r="O76" s="7" t="s">
        <v>114</v>
      </c>
      <c r="P76" s="7" t="s">
        <v>928</v>
      </c>
      <c r="Q76" s="7" t="s">
        <v>115</v>
      </c>
      <c r="R76" s="7" t="s">
        <v>102</v>
      </c>
      <c r="S76" s="7" t="n">
        <v>2</v>
      </c>
      <c r="T76" s="7" t="s">
        <v>92</v>
      </c>
      <c r="U76" s="7"/>
      <c r="V76" s="9" t="n">
        <f aca="false">IF(LEFT(E76,2)="SF",IF(F76="",0,Weights!$B$2*MAX(0,MIN(1,(Weights!$B$9-F76)/(Weights!$B$9-Weights!$B$8)))),0)</f>
        <v>29</v>
      </c>
      <c r="W76" s="9" t="n">
        <f aca="false">IF(M76="",5,Weights!$B$3*MAX(0,MIN(1,(Weights!$B$7-M76)/(Weights!$B$7-Weights!$B$6))))</f>
        <v>0</v>
      </c>
      <c r="X76" s="9" t="n">
        <f aca="false">IF(O76="none",0,IF(O76="unknown",5,Weights!$B$4))</f>
        <v>15</v>
      </c>
      <c r="Y76" s="9" t="n">
        <f aca="false">IF(K76="",4,IF(AND(K76&gt;=Weights!$B$13,K76&lt;=Weights!$B$14),Weights!$B$5,IF(K76&gt;100,15,IF(K76&gt;=20,12,4))))</f>
        <v>4</v>
      </c>
      <c r="Z76" s="10" t="n">
        <f aca="false">IF(OR(Q76="taken",Q76="sold",Q76="ruled-out"),0,MIN(IF(AND(H76="tourist-hotel",O76="none"),Weights!$B$11,100),V76+W76+X76+Y76)+IF(R76="yes",Weights!$B$10,0))</f>
        <v>48</v>
      </c>
      <c r="AA76" s="7" t="s">
        <v>694</v>
      </c>
    </row>
    <row r="77" customFormat="false" ht="23.85" hidden="false" customHeight="false" outlineLevel="0" collapsed="false">
      <c r="A77" s="7" t="n">
        <f aca="false">RANK(Z77,$Z$2:$Z$78)</f>
        <v>74</v>
      </c>
      <c r="B77" s="7" t="s">
        <v>983</v>
      </c>
      <c r="C77" s="7" t="s">
        <v>984</v>
      </c>
      <c r="D77" s="7" t="s">
        <v>955</v>
      </c>
      <c r="E77" s="7" t="s">
        <v>97</v>
      </c>
      <c r="F77" s="7" t="n">
        <v>47</v>
      </c>
      <c r="G77" s="7" t="s">
        <v>688</v>
      </c>
      <c r="H77" s="7" t="s">
        <v>113</v>
      </c>
      <c r="I77" s="7" t="s">
        <v>967</v>
      </c>
      <c r="J77" s="7" t="s">
        <v>985</v>
      </c>
      <c r="K77" s="7"/>
      <c r="L77" s="7" t="s">
        <v>986</v>
      </c>
      <c r="M77" s="8" t="n">
        <v>3500</v>
      </c>
      <c r="N77" s="8" t="n">
        <f aca="false">M77*Weights!$B$12</f>
        <v>157500</v>
      </c>
      <c r="O77" s="7" t="s">
        <v>114</v>
      </c>
      <c r="P77" s="7" t="s">
        <v>928</v>
      </c>
      <c r="Q77" s="7" t="s">
        <v>115</v>
      </c>
      <c r="R77" s="7" t="s">
        <v>102</v>
      </c>
      <c r="S77" s="7" t="n">
        <v>2</v>
      </c>
      <c r="T77" s="7" t="s">
        <v>92</v>
      </c>
      <c r="U77" s="7"/>
      <c r="V77" s="9" t="n">
        <f aca="false">IF(LEFT(E77,2)="SF",IF(F77="",0,Weights!$B$2*MAX(0,MIN(1,(Weights!$B$9-F77)/(Weights!$B$9-Weights!$B$8)))),0)</f>
        <v>0</v>
      </c>
      <c r="W77" s="9" t="n">
        <f aca="false">IF(M77="",5,Weights!$B$3*MAX(0,MIN(1,(Weights!$B$7-M77)/(Weights!$B$7-Weights!$B$6))))</f>
        <v>0</v>
      </c>
      <c r="X77" s="9" t="n">
        <f aca="false">IF(O77="none",0,IF(O77="unknown",5,Weights!$B$4))</f>
        <v>15</v>
      </c>
      <c r="Y77" s="9" t="n">
        <f aca="false">IF(K77="",4,IF(AND(K77&gt;=Weights!$B$13,K77&lt;=Weights!$B$14),Weights!$B$5,IF(K77&gt;100,15,IF(K77&gt;=20,12,4))))</f>
        <v>4</v>
      </c>
      <c r="Z77" s="10" t="n">
        <f aca="false">IF(OR(Q77="taken",Q77="sold",Q77="ruled-out"),0,MIN(IF(AND(H77="tourist-hotel",O77="none"),Weights!$B$11,100),V77+W77+X77+Y77)+IF(R77="yes",Weights!$B$10,0))</f>
        <v>19</v>
      </c>
      <c r="AA77" s="7" t="s">
        <v>694</v>
      </c>
    </row>
    <row r="78" customFormat="false" ht="23.85" hidden="false" customHeight="false" outlineLevel="0" collapsed="false">
      <c r="A78" s="7" t="n">
        <f aca="false">RANK(Z78,$Z$2:$Z$78)</f>
        <v>62</v>
      </c>
      <c r="B78" s="7" t="s">
        <v>987</v>
      </c>
      <c r="C78" s="7" t="s">
        <v>988</v>
      </c>
      <c r="D78" s="7" t="s">
        <v>642</v>
      </c>
      <c r="E78" s="7" t="s">
        <v>127</v>
      </c>
      <c r="F78" s="7" t="n">
        <v>11</v>
      </c>
      <c r="G78" s="7" t="s">
        <v>688</v>
      </c>
      <c r="H78" s="7" t="s">
        <v>78</v>
      </c>
      <c r="I78" s="7" t="s">
        <v>989</v>
      </c>
      <c r="J78" s="7" t="s">
        <v>990</v>
      </c>
      <c r="K78" s="7"/>
      <c r="L78" s="7" t="s">
        <v>991</v>
      </c>
      <c r="M78" s="8" t="n">
        <v>6000</v>
      </c>
      <c r="N78" s="8" t="n">
        <f aca="false">M78*Weights!$B$12</f>
        <v>270000</v>
      </c>
      <c r="O78" s="7" t="s">
        <v>79</v>
      </c>
      <c r="P78" s="7" t="s">
        <v>992</v>
      </c>
      <c r="Q78" s="7" t="s">
        <v>115</v>
      </c>
      <c r="R78" s="7" t="s">
        <v>116</v>
      </c>
      <c r="S78" s="7" t="n">
        <v>2</v>
      </c>
      <c r="T78" s="7" t="s">
        <v>92</v>
      </c>
      <c r="U78" s="7"/>
      <c r="V78" s="9" t="n">
        <f aca="false">IF(LEFT(E78,2)="SF",IF(F78="",0,Weights!$B$2*MAX(0,MIN(1,(Weights!$B$9-F78)/(Weights!$B$9-Weights!$B$8)))),0)</f>
        <v>34</v>
      </c>
      <c r="W78" s="9" t="n">
        <f aca="false">IF(M78="",5,Weights!$B$3*MAX(0,MIN(1,(Weights!$B$7-M78)/(Weights!$B$7-Weights!$B$6))))</f>
        <v>0</v>
      </c>
      <c r="X78" s="9" t="n">
        <f aca="false">IF(O78="none",0,IF(O78="unknown",5,Weights!$B$4))</f>
        <v>0</v>
      </c>
      <c r="Y78" s="9" t="n">
        <f aca="false">IF(K78="",4,IF(AND(K78&gt;=Weights!$B$13,K78&lt;=Weights!$B$14),Weights!$B$5,IF(K78&gt;100,15,IF(K78&gt;=20,12,4))))</f>
        <v>4</v>
      </c>
      <c r="Z78" s="10" t="n">
        <f aca="false">IF(OR(Q78="taken",Q78="sold",Q78="ruled-out"),0,MIN(IF(AND(H78="tourist-hotel",O78="none"),Weights!$B$11,100),V78+W78+X78+Y78)+IF(R78="yes",Weights!$B$10,0))</f>
        <v>43</v>
      </c>
      <c r="AA78" s="7" t="s">
        <v>694</v>
      </c>
    </row>
  </sheetData>
  <autoFilter ref="A1:AA78"/>
  <conditionalFormatting sqref="Z2:Z78">
    <cfRule type="cellIs" priority="2" operator="greaterThanOrEqual" aboveAverage="0" equalAverage="0" bottom="0" percent="0" rank="0" text="" dxfId="8">
      <formula>70</formula>
    </cfRule>
    <cfRule type="cellIs" priority="3" operator="between" aboveAverage="0" equalAverage="0" bottom="0" percent="0" rank="0" text="" dxfId="9">
      <formula>45</formula>
      <formula>69.9</formula>
    </cfRule>
    <cfRule type="cellIs" priority="4" operator="lessThan" aboveAverage="0" equalAverage="0" bottom="0" percent="0" rank="0" text="" dxfId="10">
      <formula>45</formula>
    </cfRule>
  </conditionalFormatting>
  <conditionalFormatting sqref="A2:AA78">
    <cfRule type="expression" priority="5" aboveAverage="0" equalAverage="0" bottom="0" percent="0" rank="0" text="" dxfId="11">
      <formula>ISNUMBER(SEARCH("CURRENT",$B2))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6"/>
    <col collapsed="false" customWidth="true" hidden="false" outlineLevel="0" max="3" min="3" style="0" width="44"/>
    <col collapsed="false" customWidth="true" hidden="false" outlineLevel="0" max="4" min="4" style="0" width="36"/>
    <col collapsed="false" customWidth="true" hidden="false" outlineLevel="0" max="5" min="5" style="0" width="40"/>
    <col collapsed="false" customWidth="true" hidden="false" outlineLevel="0" max="6" min="6" style="0" width="10"/>
  </cols>
  <sheetData>
    <row r="1" customFormat="false" ht="42" hidden="false" customHeight="true" outlineLevel="0" collapsed="false">
      <c r="A1" s="3" t="s">
        <v>993</v>
      </c>
      <c r="B1" s="3" t="s">
        <v>994</v>
      </c>
      <c r="C1" s="3" t="s">
        <v>60</v>
      </c>
      <c r="D1" s="3" t="s">
        <v>61</v>
      </c>
      <c r="E1" s="3" t="s">
        <v>62</v>
      </c>
      <c r="F1" s="3" t="s">
        <v>995</v>
      </c>
    </row>
    <row r="2" customFormat="false" ht="23.85" hidden="false" customHeight="false" outlineLevel="0" collapsed="false">
      <c r="A2" s="11" t="s">
        <v>89</v>
      </c>
      <c r="B2" s="11" t="s">
        <v>996</v>
      </c>
      <c r="C2" s="11" t="s">
        <v>105</v>
      </c>
      <c r="D2" s="11" t="s">
        <v>106</v>
      </c>
      <c r="E2" s="11" t="s">
        <v>107</v>
      </c>
      <c r="F2" s="11"/>
    </row>
    <row r="3" customFormat="false" ht="23.85" hidden="false" customHeight="false" outlineLevel="0" collapsed="false">
      <c r="A3" s="11" t="s">
        <v>89</v>
      </c>
      <c r="B3" s="11" t="s">
        <v>997</v>
      </c>
      <c r="C3" s="11" t="s">
        <v>119</v>
      </c>
      <c r="D3" s="11" t="s">
        <v>120</v>
      </c>
      <c r="E3" s="11" t="s">
        <v>121</v>
      </c>
      <c r="F3" s="11"/>
    </row>
    <row r="4" customFormat="false" ht="23.85" hidden="false" customHeight="false" outlineLevel="0" collapsed="false">
      <c r="A4" s="11" t="s">
        <v>89</v>
      </c>
      <c r="B4" s="11" t="s">
        <v>998</v>
      </c>
      <c r="C4" s="11" t="s">
        <v>86</v>
      </c>
      <c r="D4" s="11" t="s">
        <v>87</v>
      </c>
      <c r="E4" s="11" t="s">
        <v>88</v>
      </c>
      <c r="F4" s="11"/>
    </row>
    <row r="5" customFormat="false" ht="23.85" hidden="false" customHeight="false" outlineLevel="0" collapsed="false">
      <c r="A5" s="11" t="s">
        <v>89</v>
      </c>
      <c r="B5" s="11" t="s">
        <v>999</v>
      </c>
      <c r="C5" s="11" t="s">
        <v>143</v>
      </c>
      <c r="D5" s="11" t="s">
        <v>144</v>
      </c>
      <c r="E5" s="11" t="s">
        <v>145</v>
      </c>
      <c r="F5" s="11" t="s">
        <v>1000</v>
      </c>
    </row>
    <row r="6" customFormat="false" ht="23.85" hidden="false" customHeight="false" outlineLevel="0" collapsed="false">
      <c r="A6" s="11" t="s">
        <v>89</v>
      </c>
      <c r="B6" s="11" t="s">
        <v>1001</v>
      </c>
      <c r="C6" s="11" t="s">
        <v>155</v>
      </c>
      <c r="D6" s="11" t="s">
        <v>156</v>
      </c>
      <c r="E6" s="11" t="s">
        <v>157</v>
      </c>
      <c r="F6" s="11"/>
    </row>
    <row r="7" customFormat="false" ht="35.05" hidden="false" customHeight="false" outlineLevel="0" collapsed="false">
      <c r="A7" s="11" t="s">
        <v>89</v>
      </c>
      <c r="B7" s="11" t="s">
        <v>1002</v>
      </c>
      <c r="C7" s="11" t="s">
        <v>550</v>
      </c>
      <c r="D7" s="11" t="s">
        <v>551</v>
      </c>
      <c r="E7" s="11" t="s">
        <v>552</v>
      </c>
      <c r="F7" s="11"/>
    </row>
    <row r="8" customFormat="false" ht="23.85" hidden="false" customHeight="false" outlineLevel="0" collapsed="false">
      <c r="A8" s="11" t="s">
        <v>89</v>
      </c>
      <c r="B8" s="11" t="s">
        <v>1003</v>
      </c>
      <c r="C8" s="11" t="s">
        <v>172</v>
      </c>
      <c r="D8" s="11" t="s">
        <v>173</v>
      </c>
      <c r="E8" s="11" t="s">
        <v>174</v>
      </c>
      <c r="F8" s="11"/>
    </row>
    <row r="9" customFormat="false" ht="23.85" hidden="false" customHeight="false" outlineLevel="0" collapsed="false">
      <c r="A9" s="11" t="s">
        <v>89</v>
      </c>
      <c r="B9" s="11" t="s">
        <v>1004</v>
      </c>
      <c r="C9" s="11" t="s">
        <v>183</v>
      </c>
      <c r="D9" s="11" t="s">
        <v>184</v>
      </c>
      <c r="E9" s="11" t="s">
        <v>185</v>
      </c>
      <c r="F9" s="11"/>
    </row>
    <row r="10" customFormat="false" ht="23.85" hidden="false" customHeight="false" outlineLevel="0" collapsed="false">
      <c r="A10" s="11" t="s">
        <v>196</v>
      </c>
      <c r="B10" s="11" t="s">
        <v>1005</v>
      </c>
      <c r="C10" s="11" t="s">
        <v>193</v>
      </c>
      <c r="D10" s="11" t="s">
        <v>194</v>
      </c>
      <c r="E10" s="11" t="s">
        <v>195</v>
      </c>
      <c r="F10" s="11"/>
    </row>
    <row r="11" customFormat="false" ht="23.85" hidden="false" customHeight="false" outlineLevel="0" collapsed="false">
      <c r="A11" s="11" t="s">
        <v>196</v>
      </c>
      <c r="B11" s="11" t="s">
        <v>1006</v>
      </c>
      <c r="C11" s="11" t="s">
        <v>203</v>
      </c>
      <c r="D11" s="11" t="s">
        <v>204</v>
      </c>
      <c r="E11" s="11" t="s">
        <v>205</v>
      </c>
      <c r="F11" s="11"/>
    </row>
    <row r="12" customFormat="false" ht="23.85" hidden="false" customHeight="false" outlineLevel="0" collapsed="false">
      <c r="A12" s="11" t="s">
        <v>196</v>
      </c>
      <c r="B12" s="11" t="s">
        <v>1007</v>
      </c>
      <c r="C12" s="11" t="s">
        <v>235</v>
      </c>
      <c r="D12" s="11" t="s">
        <v>236</v>
      </c>
      <c r="E12" s="11" t="s">
        <v>237</v>
      </c>
      <c r="F12" s="11"/>
    </row>
    <row r="13" customFormat="false" ht="15" hidden="false" customHeight="false" outlineLevel="0" collapsed="false">
      <c r="A13" s="11" t="s">
        <v>196</v>
      </c>
      <c r="B13" s="11" t="s">
        <v>1008</v>
      </c>
      <c r="C13" s="11" t="s">
        <v>226</v>
      </c>
      <c r="D13" s="11" t="s">
        <v>227</v>
      </c>
      <c r="E13" s="11" t="s">
        <v>228</v>
      </c>
      <c r="F13" s="11"/>
    </row>
    <row r="14" customFormat="false" ht="15" hidden="false" customHeight="false" outlineLevel="0" collapsed="false">
      <c r="A14" s="11" t="s">
        <v>196</v>
      </c>
      <c r="B14" s="11" t="s">
        <v>1009</v>
      </c>
      <c r="C14" s="11" t="s">
        <v>245</v>
      </c>
      <c r="D14" s="11" t="s">
        <v>246</v>
      </c>
      <c r="E14" s="11" t="s">
        <v>247</v>
      </c>
      <c r="F14" s="11"/>
    </row>
    <row r="15" customFormat="false" ht="15" hidden="false" customHeight="false" outlineLevel="0" collapsed="false">
      <c r="A15" s="11" t="s">
        <v>196</v>
      </c>
      <c r="B15" s="11" t="s">
        <v>1010</v>
      </c>
      <c r="C15" s="11" t="s">
        <v>254</v>
      </c>
      <c r="D15" s="11" t="s">
        <v>255</v>
      </c>
      <c r="E15" s="11" t="s">
        <v>256</v>
      </c>
      <c r="F15" s="11"/>
    </row>
    <row r="16" customFormat="false" ht="15" hidden="false" customHeight="false" outlineLevel="0" collapsed="false">
      <c r="A16" s="11" t="s">
        <v>196</v>
      </c>
      <c r="B16" s="11" t="s">
        <v>1011</v>
      </c>
      <c r="C16" s="11" t="s">
        <v>294</v>
      </c>
      <c r="D16" s="11" t="s">
        <v>295</v>
      </c>
      <c r="E16" s="11" t="s">
        <v>296</v>
      </c>
      <c r="F16" s="11"/>
    </row>
    <row r="17" customFormat="false" ht="23.85" hidden="false" customHeight="false" outlineLevel="0" collapsed="false">
      <c r="A17" s="11" t="s">
        <v>196</v>
      </c>
      <c r="B17" s="11" t="s">
        <v>1012</v>
      </c>
      <c r="C17" s="11" t="s">
        <v>88</v>
      </c>
      <c r="D17" s="11" t="s">
        <v>88</v>
      </c>
      <c r="E17" s="11" t="s">
        <v>499</v>
      </c>
      <c r="F17" s="11"/>
    </row>
    <row r="18" customFormat="false" ht="23.85" hidden="false" customHeight="false" outlineLevel="0" collapsed="false">
      <c r="A18" s="11" t="s">
        <v>196</v>
      </c>
      <c r="B18" s="11" t="s">
        <v>1013</v>
      </c>
      <c r="C18" s="11" t="s">
        <v>1014</v>
      </c>
      <c r="D18" s="11" t="s">
        <v>88</v>
      </c>
      <c r="E18" s="11" t="s">
        <v>1015</v>
      </c>
      <c r="F18" s="11"/>
    </row>
    <row r="19" customFormat="false" ht="23.85" hidden="false" customHeight="false" outlineLevel="0" collapsed="false">
      <c r="A19" s="11" t="s">
        <v>196</v>
      </c>
      <c r="B19" s="11" t="s">
        <v>1016</v>
      </c>
      <c r="C19" s="11" t="s">
        <v>591</v>
      </c>
      <c r="D19" s="11" t="s">
        <v>592</v>
      </c>
      <c r="E19" s="11" t="s">
        <v>593</v>
      </c>
      <c r="F19" s="11"/>
    </row>
    <row r="20" customFormat="false" ht="23.85" hidden="false" customHeight="false" outlineLevel="0" collapsed="false">
      <c r="A20" s="11" t="s">
        <v>196</v>
      </c>
      <c r="B20" s="11" t="s">
        <v>1017</v>
      </c>
      <c r="C20" s="11" t="s">
        <v>274</v>
      </c>
      <c r="D20" s="11" t="s">
        <v>275</v>
      </c>
      <c r="E20" s="11" t="s">
        <v>276</v>
      </c>
      <c r="F20" s="11"/>
    </row>
    <row r="21" customFormat="false" ht="15" hidden="false" customHeight="false" outlineLevel="0" collapsed="false">
      <c r="A21" s="11" t="s">
        <v>196</v>
      </c>
      <c r="B21" s="11" t="s">
        <v>1018</v>
      </c>
      <c r="C21" s="11" t="s">
        <v>285</v>
      </c>
      <c r="D21" s="11" t="s">
        <v>286</v>
      </c>
      <c r="E21" s="11" t="s">
        <v>287</v>
      </c>
      <c r="F21" s="11"/>
    </row>
    <row r="22" customFormat="false" ht="23.85" hidden="false" customHeight="false" outlineLevel="0" collapsed="false">
      <c r="A22" s="11" t="s">
        <v>196</v>
      </c>
      <c r="B22" s="11" t="s">
        <v>1019</v>
      </c>
      <c r="C22" s="11" t="s">
        <v>304</v>
      </c>
      <c r="D22" s="11" t="s">
        <v>305</v>
      </c>
      <c r="E22" s="11" t="s">
        <v>306</v>
      </c>
      <c r="F22" s="11"/>
    </row>
    <row r="23" customFormat="false" ht="15" hidden="false" customHeight="false" outlineLevel="0" collapsed="false">
      <c r="A23" s="11" t="s">
        <v>196</v>
      </c>
      <c r="B23" s="11" t="s">
        <v>1020</v>
      </c>
      <c r="C23" s="11" t="s">
        <v>314</v>
      </c>
      <c r="D23" s="11" t="s">
        <v>88</v>
      </c>
      <c r="E23" s="11" t="s">
        <v>315</v>
      </c>
      <c r="F23" s="11"/>
    </row>
    <row r="24" customFormat="false" ht="23.85" hidden="false" customHeight="false" outlineLevel="0" collapsed="false">
      <c r="A24" s="11" t="s">
        <v>196</v>
      </c>
      <c r="B24" s="11" t="s">
        <v>1021</v>
      </c>
      <c r="C24" s="11" t="s">
        <v>323</v>
      </c>
      <c r="D24" s="11" t="s">
        <v>88</v>
      </c>
      <c r="E24" s="11" t="s">
        <v>324</v>
      </c>
      <c r="F24" s="11"/>
    </row>
    <row r="25" customFormat="false" ht="15" hidden="false" customHeight="false" outlineLevel="0" collapsed="false">
      <c r="A25" s="11" t="s">
        <v>196</v>
      </c>
      <c r="B25" s="11" t="s">
        <v>1022</v>
      </c>
      <c r="C25" s="11" t="s">
        <v>332</v>
      </c>
      <c r="D25" s="11" t="s">
        <v>88</v>
      </c>
      <c r="E25" s="11" t="s">
        <v>333</v>
      </c>
      <c r="F25" s="11"/>
    </row>
    <row r="26" customFormat="false" ht="15" hidden="false" customHeight="false" outlineLevel="0" collapsed="false">
      <c r="A26" s="11" t="s">
        <v>408</v>
      </c>
      <c r="B26" s="11" t="s">
        <v>1023</v>
      </c>
      <c r="C26" s="11" t="s">
        <v>533</v>
      </c>
      <c r="D26" s="11" t="s">
        <v>534</v>
      </c>
      <c r="E26" s="11" t="s">
        <v>535</v>
      </c>
      <c r="F26" s="11" t="s">
        <v>1000</v>
      </c>
    </row>
    <row r="27" customFormat="false" ht="15" hidden="false" customHeight="false" outlineLevel="0" collapsed="false">
      <c r="A27" s="11" t="s">
        <v>408</v>
      </c>
      <c r="B27" s="11" t="s">
        <v>1024</v>
      </c>
      <c r="C27" s="11" t="s">
        <v>542</v>
      </c>
      <c r="D27" s="11" t="s">
        <v>543</v>
      </c>
      <c r="E27" s="11" t="s">
        <v>107</v>
      </c>
      <c r="F27" s="11"/>
    </row>
    <row r="28" customFormat="false" ht="15" hidden="false" customHeight="false" outlineLevel="0" collapsed="false">
      <c r="A28" s="11" t="s">
        <v>408</v>
      </c>
      <c r="B28" s="11" t="s">
        <v>1025</v>
      </c>
      <c r="C28" s="11" t="s">
        <v>405</v>
      </c>
      <c r="D28" s="11" t="s">
        <v>406</v>
      </c>
      <c r="E28" s="11" t="s">
        <v>407</v>
      </c>
      <c r="F28" s="11"/>
    </row>
    <row r="29" customFormat="false" ht="23.85" hidden="false" customHeight="false" outlineLevel="0" collapsed="false">
      <c r="A29" s="11" t="s">
        <v>408</v>
      </c>
      <c r="B29" s="11" t="s">
        <v>1026</v>
      </c>
      <c r="C29" s="11" t="s">
        <v>415</v>
      </c>
      <c r="D29" s="11" t="s">
        <v>416</v>
      </c>
      <c r="E29" s="11" t="s">
        <v>88</v>
      </c>
      <c r="F29" s="11"/>
    </row>
    <row r="30" customFormat="false" ht="15" hidden="false" customHeight="false" outlineLevel="0" collapsed="false">
      <c r="A30" s="11" t="s">
        <v>408</v>
      </c>
      <c r="B30" s="11" t="s">
        <v>1027</v>
      </c>
      <c r="C30" s="11" t="s">
        <v>570</v>
      </c>
      <c r="D30" s="11" t="s">
        <v>571</v>
      </c>
      <c r="E30" s="11" t="s">
        <v>572</v>
      </c>
      <c r="F30" s="11"/>
    </row>
    <row r="31" customFormat="false" ht="15" hidden="false" customHeight="false" outlineLevel="0" collapsed="false">
      <c r="A31" s="11" t="s">
        <v>408</v>
      </c>
      <c r="B31" s="11" t="s">
        <v>1028</v>
      </c>
      <c r="C31" s="11" t="s">
        <v>560</v>
      </c>
      <c r="D31" s="11" t="s">
        <v>561</v>
      </c>
      <c r="E31" s="11" t="s">
        <v>562</v>
      </c>
      <c r="F31" s="11"/>
    </row>
    <row r="32" customFormat="false" ht="15" hidden="false" customHeight="false" outlineLevel="0" collapsed="false">
      <c r="A32" s="11" t="s">
        <v>408</v>
      </c>
      <c r="B32" s="11" t="s">
        <v>1029</v>
      </c>
      <c r="C32" s="11" t="s">
        <v>1030</v>
      </c>
      <c r="D32" s="11" t="s">
        <v>1031</v>
      </c>
      <c r="E32" s="11" t="s">
        <v>1032</v>
      </c>
      <c r="F32" s="11"/>
    </row>
    <row r="33" customFormat="false" ht="15" hidden="false" customHeight="false" outlineLevel="0" collapsed="false">
      <c r="A33" s="11" t="s">
        <v>408</v>
      </c>
      <c r="B33" s="11" t="s">
        <v>1033</v>
      </c>
      <c r="C33" s="11" t="s">
        <v>1034</v>
      </c>
      <c r="D33" s="11" t="s">
        <v>1035</v>
      </c>
      <c r="E33" s="11" t="s">
        <v>1036</v>
      </c>
      <c r="F33" s="11"/>
    </row>
    <row r="34" customFormat="false" ht="23.85" hidden="false" customHeight="false" outlineLevel="0" collapsed="false">
      <c r="A34" s="11" t="s">
        <v>408</v>
      </c>
      <c r="B34" s="11" t="s">
        <v>1037</v>
      </c>
      <c r="C34" s="11" t="s">
        <v>1038</v>
      </c>
      <c r="D34" s="11" t="s">
        <v>1039</v>
      </c>
      <c r="E34" s="11" t="s">
        <v>1040</v>
      </c>
      <c r="F34" s="11"/>
    </row>
    <row r="35" customFormat="false" ht="15" hidden="false" customHeight="false" outlineLevel="0" collapsed="false">
      <c r="A35" s="11" t="s">
        <v>408</v>
      </c>
      <c r="B35" s="11" t="s">
        <v>1041</v>
      </c>
      <c r="C35" s="11" t="s">
        <v>581</v>
      </c>
      <c r="D35" s="11" t="s">
        <v>582</v>
      </c>
      <c r="E35" s="11" t="s">
        <v>583</v>
      </c>
      <c r="F35" s="11"/>
    </row>
    <row r="36" customFormat="false" ht="15" hidden="false" customHeight="false" outlineLevel="0" collapsed="false">
      <c r="A36" s="11" t="s">
        <v>425</v>
      </c>
      <c r="B36" s="11" t="s">
        <v>1042</v>
      </c>
      <c r="C36" s="11" t="s">
        <v>422</v>
      </c>
      <c r="D36" s="11" t="s">
        <v>423</v>
      </c>
      <c r="E36" s="11" t="s">
        <v>424</v>
      </c>
      <c r="F36" s="11"/>
    </row>
    <row r="37" customFormat="false" ht="23.85" hidden="false" customHeight="false" outlineLevel="0" collapsed="false">
      <c r="A37" s="11" t="s">
        <v>425</v>
      </c>
      <c r="B37" s="11" t="s">
        <v>1043</v>
      </c>
      <c r="C37" s="11" t="s">
        <v>1044</v>
      </c>
      <c r="D37" s="11" t="s">
        <v>1045</v>
      </c>
      <c r="E37" s="11" t="s">
        <v>1046</v>
      </c>
      <c r="F37" s="11"/>
    </row>
    <row r="38" customFormat="false" ht="15" hidden="false" customHeight="false" outlineLevel="0" collapsed="false">
      <c r="A38" s="11" t="s">
        <v>425</v>
      </c>
      <c r="B38" s="11" t="s">
        <v>1047</v>
      </c>
      <c r="C38" s="11" t="s">
        <v>1048</v>
      </c>
      <c r="D38" s="11" t="s">
        <v>1049</v>
      </c>
      <c r="E38" s="11" t="s">
        <v>1050</v>
      </c>
      <c r="F38" s="11"/>
    </row>
    <row r="39" customFormat="false" ht="15" hidden="false" customHeight="false" outlineLevel="0" collapsed="false">
      <c r="A39" s="11" t="s">
        <v>425</v>
      </c>
      <c r="B39" s="11" t="s">
        <v>1051</v>
      </c>
      <c r="C39" s="11" t="s">
        <v>1052</v>
      </c>
      <c r="D39" s="11" t="s">
        <v>1053</v>
      </c>
      <c r="E39" s="11" t="s">
        <v>1054</v>
      </c>
      <c r="F39" s="11"/>
    </row>
    <row r="40" customFormat="false" ht="23.85" hidden="false" customHeight="false" outlineLevel="0" collapsed="false">
      <c r="A40" s="11" t="s">
        <v>425</v>
      </c>
      <c r="B40" s="11" t="s">
        <v>1055</v>
      </c>
      <c r="C40" s="11" t="s">
        <v>441</v>
      </c>
      <c r="D40" s="11" t="s">
        <v>442</v>
      </c>
      <c r="E40" s="11" t="s">
        <v>443</v>
      </c>
      <c r="F40" s="11"/>
    </row>
    <row r="41" customFormat="false" ht="15" hidden="false" customHeight="false" outlineLevel="0" collapsed="false">
      <c r="A41" s="11" t="s">
        <v>425</v>
      </c>
      <c r="B41" s="11" t="s">
        <v>1056</v>
      </c>
      <c r="C41" s="11" t="s">
        <v>1057</v>
      </c>
      <c r="D41" s="11" t="s">
        <v>1058</v>
      </c>
      <c r="E41" s="11" t="s">
        <v>1059</v>
      </c>
      <c r="F41" s="11"/>
    </row>
    <row r="42" customFormat="false" ht="15" hidden="false" customHeight="false" outlineLevel="0" collapsed="false">
      <c r="A42" s="11" t="s">
        <v>425</v>
      </c>
      <c r="B42" s="11" t="s">
        <v>1060</v>
      </c>
      <c r="C42" s="11" t="s">
        <v>88</v>
      </c>
      <c r="D42" s="11" t="s">
        <v>1061</v>
      </c>
      <c r="E42" s="11" t="s">
        <v>88</v>
      </c>
      <c r="F42" s="11" t="s">
        <v>1000</v>
      </c>
    </row>
    <row r="43" customFormat="false" ht="15" hidden="false" customHeight="false" outlineLevel="0" collapsed="false">
      <c r="A43" s="11" t="s">
        <v>425</v>
      </c>
      <c r="B43" s="11" t="s">
        <v>1062</v>
      </c>
      <c r="C43" s="11" t="s">
        <v>1063</v>
      </c>
      <c r="D43" s="11" t="s">
        <v>1064</v>
      </c>
      <c r="E43" s="11" t="s">
        <v>1065</v>
      </c>
      <c r="F43" s="11"/>
    </row>
    <row r="44" customFormat="false" ht="15" hidden="false" customHeight="false" outlineLevel="0" collapsed="false">
      <c r="A44" s="11" t="s">
        <v>425</v>
      </c>
      <c r="B44" s="11" t="s">
        <v>1066</v>
      </c>
      <c r="C44" s="11" t="s">
        <v>432</v>
      </c>
      <c r="D44" s="11" t="s">
        <v>433</v>
      </c>
      <c r="E44" s="11" t="s">
        <v>434</v>
      </c>
      <c r="F44" s="11"/>
    </row>
    <row r="45" customFormat="false" ht="23.85" hidden="false" customHeight="false" outlineLevel="0" collapsed="false">
      <c r="A45" s="11" t="s">
        <v>455</v>
      </c>
      <c r="B45" s="11" t="s">
        <v>1067</v>
      </c>
      <c r="C45" s="11" t="s">
        <v>452</v>
      </c>
      <c r="D45" s="11" t="s">
        <v>453</v>
      </c>
      <c r="E45" s="11" t="s">
        <v>454</v>
      </c>
      <c r="F45" s="11"/>
    </row>
    <row r="46" customFormat="false" ht="23.85" hidden="false" customHeight="false" outlineLevel="0" collapsed="false">
      <c r="A46" s="11" t="s">
        <v>455</v>
      </c>
      <c r="B46" s="11" t="s">
        <v>1068</v>
      </c>
      <c r="C46" s="11" t="s">
        <v>473</v>
      </c>
      <c r="D46" s="11" t="s">
        <v>474</v>
      </c>
      <c r="E46" s="11" t="s">
        <v>475</v>
      </c>
      <c r="F46" s="11"/>
    </row>
    <row r="47" customFormat="false" ht="23.85" hidden="false" customHeight="false" outlineLevel="0" collapsed="false">
      <c r="A47" s="11" t="s">
        <v>455</v>
      </c>
      <c r="B47" s="11" t="s">
        <v>1069</v>
      </c>
      <c r="C47" s="11" t="s">
        <v>463</v>
      </c>
      <c r="D47" s="11" t="s">
        <v>464</v>
      </c>
      <c r="E47" s="11" t="s">
        <v>465</v>
      </c>
      <c r="F47" s="11" t="s">
        <v>1000</v>
      </c>
    </row>
    <row r="48" customFormat="false" ht="23.85" hidden="false" customHeight="false" outlineLevel="0" collapsed="false">
      <c r="A48" s="11" t="s">
        <v>455</v>
      </c>
      <c r="B48" s="11" t="s">
        <v>1070</v>
      </c>
      <c r="C48" s="11" t="s">
        <v>482</v>
      </c>
      <c r="D48" s="11" t="s">
        <v>491</v>
      </c>
      <c r="E48" s="11" t="s">
        <v>492</v>
      </c>
      <c r="F48" s="11"/>
    </row>
    <row r="49" customFormat="false" ht="23.85" hidden="false" customHeight="false" outlineLevel="0" collapsed="false">
      <c r="A49" s="11" t="s">
        <v>455</v>
      </c>
      <c r="B49" s="11" t="s">
        <v>1071</v>
      </c>
      <c r="C49" s="11" t="s">
        <v>482</v>
      </c>
      <c r="D49" s="11" t="s">
        <v>483</v>
      </c>
      <c r="E49" s="11" t="s">
        <v>484</v>
      </c>
      <c r="F49" s="11"/>
    </row>
    <row r="50" customFormat="false" ht="23.85" hidden="false" customHeight="false" outlineLevel="0" collapsed="false">
      <c r="A50" s="11" t="s">
        <v>455</v>
      </c>
      <c r="B50" s="11" t="s">
        <v>1072</v>
      </c>
      <c r="C50" s="11" t="s">
        <v>627</v>
      </c>
      <c r="D50" s="11" t="s">
        <v>88</v>
      </c>
      <c r="E50" s="11" t="s">
        <v>628</v>
      </c>
      <c r="F50" s="11"/>
    </row>
    <row r="51" customFormat="false" ht="23.85" hidden="false" customHeight="false" outlineLevel="0" collapsed="false">
      <c r="A51" s="11" t="s">
        <v>455</v>
      </c>
      <c r="B51" s="11" t="s">
        <v>1073</v>
      </c>
      <c r="C51" s="11" t="s">
        <v>635</v>
      </c>
      <c r="D51" s="11" t="s">
        <v>636</v>
      </c>
      <c r="E51" s="11" t="s">
        <v>637</v>
      </c>
      <c r="F51" s="11"/>
    </row>
    <row r="52" customFormat="false" ht="23.85" hidden="false" customHeight="false" outlineLevel="0" collapsed="false">
      <c r="A52" s="11" t="s">
        <v>455</v>
      </c>
      <c r="B52" s="11" t="s">
        <v>1074</v>
      </c>
      <c r="C52" s="11" t="s">
        <v>645</v>
      </c>
      <c r="D52" s="11" t="s">
        <v>646</v>
      </c>
      <c r="E52" s="11" t="s">
        <v>647</v>
      </c>
      <c r="F52" s="11"/>
    </row>
    <row r="53" customFormat="false" ht="23.85" hidden="false" customHeight="false" outlineLevel="0" collapsed="false">
      <c r="A53" s="11" t="s">
        <v>455</v>
      </c>
      <c r="B53" s="11" t="s">
        <v>1075</v>
      </c>
      <c r="C53" s="11" t="s">
        <v>88</v>
      </c>
      <c r="D53" s="11" t="s">
        <v>655</v>
      </c>
      <c r="E53" s="11" t="s">
        <v>656</v>
      </c>
      <c r="F53" s="11"/>
    </row>
    <row r="54" customFormat="false" ht="23.85" hidden="false" customHeight="false" outlineLevel="0" collapsed="false">
      <c r="A54" s="11" t="s">
        <v>455</v>
      </c>
      <c r="B54" s="11" t="s">
        <v>1076</v>
      </c>
      <c r="C54" s="11" t="s">
        <v>88</v>
      </c>
      <c r="D54" s="11" t="s">
        <v>662</v>
      </c>
      <c r="E54" s="11" t="s">
        <v>663</v>
      </c>
      <c r="F54" s="11"/>
    </row>
    <row r="55" customFormat="false" ht="23.85" hidden="false" customHeight="false" outlineLevel="0" collapsed="false">
      <c r="A55" s="11" t="s">
        <v>455</v>
      </c>
      <c r="B55" s="11" t="s">
        <v>1077</v>
      </c>
      <c r="C55" s="11" t="s">
        <v>88</v>
      </c>
      <c r="D55" s="11" t="s">
        <v>600</v>
      </c>
      <c r="E55" s="11" t="s">
        <v>601</v>
      </c>
      <c r="F55" s="11"/>
    </row>
    <row r="56" customFormat="false" ht="23.85" hidden="false" customHeight="false" outlineLevel="0" collapsed="false">
      <c r="A56" s="11" t="s">
        <v>455</v>
      </c>
      <c r="B56" s="11" t="s">
        <v>1078</v>
      </c>
      <c r="C56" s="11" t="s">
        <v>88</v>
      </c>
      <c r="D56" s="11" t="s">
        <v>607</v>
      </c>
      <c r="E56" s="11" t="s">
        <v>608</v>
      </c>
      <c r="F56" s="11"/>
    </row>
    <row r="57" customFormat="false" ht="23.85" hidden="false" customHeight="false" outlineLevel="0" collapsed="false">
      <c r="A57" s="11" t="s">
        <v>455</v>
      </c>
      <c r="B57" s="11" t="s">
        <v>1079</v>
      </c>
      <c r="C57" s="11" t="s">
        <v>1080</v>
      </c>
      <c r="D57" s="11" t="s">
        <v>1081</v>
      </c>
      <c r="E57" s="11" t="s">
        <v>1082</v>
      </c>
      <c r="F57" s="11"/>
    </row>
    <row r="58" customFormat="false" ht="23.85" hidden="false" customHeight="false" outlineLevel="0" collapsed="false">
      <c r="A58" s="11" t="s">
        <v>455</v>
      </c>
      <c r="B58" s="11" t="s">
        <v>1083</v>
      </c>
      <c r="C58" s="11" t="s">
        <v>1084</v>
      </c>
      <c r="D58" s="11" t="s">
        <v>88</v>
      </c>
      <c r="E58" s="11" t="s">
        <v>1085</v>
      </c>
      <c r="F58" s="11"/>
    </row>
  </sheetData>
  <autoFilter ref="A1:F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10"/>
    <col collapsed="false" customWidth="true" hidden="false" outlineLevel="0" max="5" min="4" style="0" width="12"/>
    <col collapsed="false" customWidth="true" hidden="false" outlineLevel="0" max="6" min="6" style="0" width="28"/>
    <col collapsed="false" customWidth="true" hidden="false" outlineLevel="0" max="7" min="7" style="0" width="38"/>
    <col collapsed="false" customWidth="true" hidden="false" outlineLevel="0" max="8" min="8" style="0" width="12"/>
    <col collapsed="false" customWidth="true" hidden="false" outlineLevel="0" max="9" min="9" style="0" width="10"/>
    <col collapsed="false" customWidth="true" hidden="false" outlineLevel="0" max="10" min="10" style="0" width="12"/>
    <col collapsed="false" customWidth="true" hidden="false" outlineLevel="0" max="11" min="11" style="0" width="18"/>
    <col collapsed="false" customWidth="true" hidden="false" outlineLevel="0" max="12" min="12" style="0" width="12"/>
    <col collapsed="false" customWidth="true" hidden="false" outlineLevel="0" max="13" min="13" style="0" width="40"/>
  </cols>
  <sheetData>
    <row r="1" customFormat="false" ht="42" hidden="false" customHeight="true" outlineLevel="0" collapsed="false">
      <c r="A1" s="3" t="s">
        <v>1086</v>
      </c>
      <c r="B1" s="3" t="s">
        <v>1087</v>
      </c>
      <c r="C1" s="3" t="s">
        <v>1088</v>
      </c>
      <c r="D1" s="3" t="s">
        <v>1089</v>
      </c>
      <c r="E1" s="3" t="s">
        <v>1090</v>
      </c>
      <c r="F1" s="3" t="s">
        <v>1091</v>
      </c>
      <c r="G1" s="3" t="s">
        <v>1092</v>
      </c>
      <c r="H1" s="3" t="s">
        <v>1093</v>
      </c>
      <c r="I1" s="3" t="s">
        <v>1094</v>
      </c>
      <c r="J1" s="3" t="s">
        <v>1095</v>
      </c>
      <c r="K1" s="3" t="s">
        <v>1096</v>
      </c>
      <c r="L1" s="3" t="s">
        <v>1097</v>
      </c>
      <c r="M1" s="3" t="s">
        <v>65</v>
      </c>
    </row>
    <row r="2" customFormat="false" ht="23.85" hidden="false" customHeight="false" outlineLevel="0" collapsed="false">
      <c r="A2" s="11" t="s">
        <v>1098</v>
      </c>
      <c r="B2" s="11" t="s">
        <v>94</v>
      </c>
      <c r="C2" s="11" t="s">
        <v>1099</v>
      </c>
      <c r="D2" s="11" t="s">
        <v>1100</v>
      </c>
      <c r="E2" s="11" t="s">
        <v>1101</v>
      </c>
      <c r="F2" s="11" t="s">
        <v>1102</v>
      </c>
      <c r="G2" s="11" t="s">
        <v>1103</v>
      </c>
      <c r="H2" s="11"/>
      <c r="I2" s="11"/>
      <c r="J2" s="11"/>
      <c r="K2" s="11" t="s">
        <v>1104</v>
      </c>
      <c r="L2" s="11" t="s">
        <v>1105</v>
      </c>
      <c r="M2" s="11" t="s">
        <v>1106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6"/>
    <col collapsed="false" customWidth="true" hidden="false" outlineLevel="0" max="3" min="3" style="0" width="40"/>
    <col collapsed="false" customWidth="true" hidden="false" outlineLevel="0" max="4" min="4" style="0" width="110"/>
  </cols>
  <sheetData>
    <row r="1" customFormat="false" ht="42" hidden="false" customHeight="true" outlineLevel="0" collapsed="false">
      <c r="A1" s="3" t="s">
        <v>1107</v>
      </c>
      <c r="B1" s="3" t="s">
        <v>1108</v>
      </c>
      <c r="C1" s="3" t="s">
        <v>1109</v>
      </c>
      <c r="D1" s="3" t="s">
        <v>1110</v>
      </c>
    </row>
    <row r="2" customFormat="false" ht="219.75" hidden="false" customHeight="true" outlineLevel="0" collapsed="false">
      <c r="A2" s="11" t="s">
        <v>1111</v>
      </c>
      <c r="B2" s="11" t="s">
        <v>1112</v>
      </c>
      <c r="C2" s="11" t="s">
        <v>1113</v>
      </c>
      <c r="D2" s="11" t="s">
        <v>1114</v>
      </c>
    </row>
    <row r="3" customFormat="false" ht="219.75" hidden="false" customHeight="true" outlineLevel="0" collapsed="false">
      <c r="A3" s="11" t="s">
        <v>1115</v>
      </c>
      <c r="B3" s="11" t="s">
        <v>1116</v>
      </c>
      <c r="C3" s="11" t="s">
        <v>1117</v>
      </c>
      <c r="D3" s="11" t="s">
        <v>1118</v>
      </c>
    </row>
    <row r="4" customFormat="false" ht="219.75" hidden="false" customHeight="true" outlineLevel="0" collapsed="false">
      <c r="A4" s="11" t="s">
        <v>1119</v>
      </c>
      <c r="B4" s="11" t="s">
        <v>1120</v>
      </c>
      <c r="C4" s="11" t="s">
        <v>1121</v>
      </c>
      <c r="D4" s="11" t="s">
        <v>1122</v>
      </c>
    </row>
    <row r="5" customFormat="false" ht="219.75" hidden="false" customHeight="true" outlineLevel="0" collapsed="false">
      <c r="A5" s="11" t="s">
        <v>1123</v>
      </c>
      <c r="B5" s="11" t="s">
        <v>1124</v>
      </c>
      <c r="C5" s="11" t="s">
        <v>1125</v>
      </c>
      <c r="D5" s="11" t="s">
        <v>1126</v>
      </c>
    </row>
    <row r="6" customFormat="false" ht="219.75" hidden="false" customHeight="true" outlineLevel="0" collapsed="false">
      <c r="A6" s="11" t="s">
        <v>1127</v>
      </c>
      <c r="B6" s="11" t="s">
        <v>1128</v>
      </c>
      <c r="C6" s="11" t="s">
        <v>1129</v>
      </c>
      <c r="D6" s="11" t="s">
        <v>1130</v>
      </c>
    </row>
    <row r="7" customFormat="false" ht="219.75" hidden="false" customHeight="true" outlineLevel="0" collapsed="false">
      <c r="A7" s="11" t="s">
        <v>413</v>
      </c>
      <c r="B7" s="11" t="s">
        <v>1131</v>
      </c>
      <c r="C7" s="11" t="s">
        <v>1132</v>
      </c>
      <c r="D7" s="11" t="s">
        <v>1133</v>
      </c>
    </row>
    <row r="8" customFormat="false" ht="219.75" hidden="false" customHeight="true" outlineLevel="0" collapsed="false">
      <c r="A8" s="11" t="s">
        <v>1134</v>
      </c>
      <c r="B8" s="11" t="s">
        <v>1135</v>
      </c>
      <c r="C8" s="11" t="s">
        <v>1136</v>
      </c>
      <c r="D8" s="11" t="s">
        <v>1137</v>
      </c>
    </row>
    <row r="9" customFormat="false" ht="219.75" hidden="false" customHeight="true" outlineLevel="0" collapsed="false">
      <c r="A9" s="11" t="s">
        <v>1138</v>
      </c>
      <c r="B9" s="11" t="s">
        <v>1139</v>
      </c>
      <c r="C9" s="11" t="s">
        <v>88</v>
      </c>
      <c r="D9" s="11" t="s">
        <v>1140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2026-08-22T20:50:55Z</dcterms:created>
  <dc:creator>openpyxl</dc:creator>
  <dc:description/>
  <dc:language>en-US</dc:language>
  <cp:lastModifiedBy/>
  <dcterms:modified xsi:type="dcterms:W3CDTF">2026-08-22T20:50:55Z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